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&amp; Guide" sheetId="1" state="visible" r:id="rId1"/>
    <sheet xmlns:r="http://schemas.openxmlformats.org/officeDocument/2006/relationships" name="KPI Dashboard" sheetId="2" state="visible" r:id="rId2"/>
    <sheet xmlns:r="http://schemas.openxmlformats.org/officeDocument/2006/relationships" name="Gantt Chart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dd/mm"/>
    <numFmt numFmtId="166" formatCode="yyyy-mm-dd"/>
  </numFmts>
  <fonts count="18">
    <font>
      <name val="Calibri"/>
      <family val="2"/>
      <color theme="1"/>
      <sz val="11"/>
      <scheme val="minor"/>
    </font>
    <font>
      <name val="Segoe UI"/>
      <b val="1"/>
      <color rgb="006B4F3A"/>
      <sz val="16"/>
    </font>
    <font>
      <name val="Segoe UI"/>
      <i val="1"/>
      <color rgb="008A6D55"/>
      <sz val="11"/>
    </font>
    <font>
      <name val="Segoe UI"/>
      <b val="1"/>
      <color rgb="006B4F3A"/>
      <sz val="12"/>
    </font>
    <font>
      <name val="Segoe UI"/>
      <b val="1"/>
      <color rgb="006B4F3A"/>
      <sz val="10"/>
    </font>
    <font>
      <name val="Segoe UI"/>
      <color rgb="00333333"/>
      <sz val="10"/>
    </font>
    <font>
      <name val="Segoe UI"/>
      <b val="1"/>
      <color rgb="00FFFFFF"/>
      <sz val="10"/>
    </font>
    <font>
      <name val="Segoe UI"/>
      <b val="1"/>
      <color rgb="00333333"/>
      <sz val="10"/>
    </font>
    <font>
      <name val="Segoe UI"/>
      <b val="1"/>
      <color rgb="006B4F3A"/>
      <sz val="9"/>
    </font>
    <font>
      <name val="Segoe UI"/>
      <b val="1"/>
      <color rgb="006B4F3A"/>
      <sz val="24"/>
    </font>
    <font>
      <name val="Segoe UI"/>
      <b val="1"/>
      <color rgb="000F5132"/>
      <sz val="9"/>
    </font>
    <font>
      <name val="Segoe UI"/>
      <b val="1"/>
      <color rgb="000F5132"/>
      <sz val="24"/>
    </font>
    <font>
      <name val="Segoe UI"/>
      <b val="1"/>
      <color rgb="00664D03"/>
      <sz val="9"/>
    </font>
    <font>
      <name val="Segoe UI"/>
      <b val="1"/>
      <color rgb="00664D03"/>
      <sz val="24"/>
    </font>
    <font>
      <name val="Segoe UI"/>
      <i val="1"/>
      <color rgb="00666666"/>
      <sz val="9"/>
    </font>
    <font>
      <name val="Segoe UI"/>
      <b val="1"/>
      <color rgb="008A6D55"/>
      <sz val="8"/>
    </font>
    <font>
      <name val="Segoe UI"/>
      <color rgb="00FFFFFF"/>
      <sz val="8"/>
    </font>
    <font>
      <name val="Segoe UI"/>
      <color rgb="00E8C9A0"/>
      <sz val="10"/>
    </font>
  </fonts>
  <fills count="8">
    <fill>
      <patternFill/>
    </fill>
    <fill>
      <patternFill patternType="gray125"/>
    </fill>
    <fill>
      <patternFill patternType="solid">
        <fgColor rgb="006B4F3A"/>
        <bgColor rgb="006B4F3A"/>
      </patternFill>
    </fill>
    <fill>
      <patternFill patternType="solid">
        <fgColor rgb="00F5EDE3"/>
        <bgColor rgb="00F5EDE3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9F6F0"/>
        <bgColor rgb="00F9F6F0"/>
      </patternFill>
    </fill>
    <fill>
      <patternFill patternType="solid">
        <fgColor rgb="00A47864"/>
        <bgColor rgb="00A47864"/>
      </patternFill>
    </fill>
  </fills>
  <borders count="6">
    <border>
      <left/>
      <right/>
      <top/>
      <bottom/>
      <diagonal/>
    </border>
    <border>
      <bottom style="dashed">
        <color rgb="00E8C9A0"/>
      </bottom>
    </border>
    <border>
      <left style="thin">
        <color rgb="00D6C5B3"/>
      </left>
      <right style="thin">
        <color rgb="00D6C5B3"/>
      </right>
      <top style="thin">
        <color rgb="00D6C5B3"/>
      </top>
      <bottom style="thin">
        <color rgb="00D6C5B3"/>
      </bottom>
    </border>
    <border>
      <bottom style="medium">
        <color rgb="006B4F3A"/>
      </bottom>
    </border>
    <border>
      <left style="thin">
        <color rgb="00D6C5B3"/>
      </left>
      <right style="thin">
        <color rgb="00D6C5B3"/>
      </right>
      <top style="medium">
        <color rgb="006B4F3A"/>
      </top>
      <bottom style="medium">
        <color rgb="006B4F3A"/>
      </bottom>
    </border>
    <border>
      <left style="thin">
        <color rgb="00D6C5B3"/>
      </left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8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10" fillId="4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164" fontId="3" fillId="0" borderId="3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164" fontId="5" fillId="6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/>
    </xf>
    <xf numFmtId="0" fontId="14" fillId="0" borderId="0" pivotButton="0" quotePrefix="0" xfId="0"/>
    <xf numFmtId="0" fontId="14" fillId="0" borderId="0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165" fontId="16" fillId="7" borderId="2" applyAlignment="1" pivotButton="0" quotePrefix="0" xfId="0">
      <alignment horizontal="center" vertical="center" textRotation="90"/>
    </xf>
    <xf numFmtId="0" fontId="6" fillId="2" borderId="4" applyAlignment="1" pivotButton="0" quotePrefix="0" xfId="0">
      <alignment horizontal="center" vertical="center"/>
    </xf>
    <xf numFmtId="0" fontId="0" fillId="0" borderId="3" pivotButton="0" quotePrefix="0" xfId="0"/>
    <xf numFmtId="166" fontId="5" fillId="0" borderId="2" applyAlignment="1" pivotButton="0" quotePrefix="0" xfId="0">
      <alignment horizontal="center" vertical="center"/>
    </xf>
    <xf numFmtId="9" fontId="5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17" fillId="0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166" fontId="5" fillId="6" borderId="2" applyAlignment="1" pivotButton="0" quotePrefix="0" xfId="0">
      <alignment horizontal="center" vertical="center"/>
    </xf>
    <xf numFmtId="9" fontId="5" fillId="6" borderId="2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Segoe UI"/>
        <b val="1"/>
        <color rgb="00E8C9A0"/>
        <sz val="10"/>
      </font>
      <fill>
        <patternFill patternType="solid">
          <fgColor rgb="00E8C9A0"/>
          <bgColor rgb="00E8C9A0"/>
        </patternFill>
      </fill>
    </dxf>
    <dxf>
      <font>
        <name val="Segoe UI"/>
        <b val="1"/>
        <color rgb="000F5132"/>
        <sz val="10"/>
      </font>
      <fill>
        <patternFill patternType="solid">
          <fgColor rgb="00D1E7DD"/>
          <bgColor rgb="00D1E7DD"/>
        </patternFill>
      </fill>
    </dxf>
    <dxf>
      <font>
        <name val="Segoe UI"/>
        <b val="1"/>
        <color rgb="00664D03"/>
        <sz val="10"/>
      </font>
      <fill>
        <patternFill patternType="solid">
          <fgColor rgb="00FFF3CD"/>
          <bgColor rgb="00FFF3CD"/>
        </patternFill>
      </fill>
    </dxf>
    <dxf>
      <font>
        <name val="Segoe UI"/>
        <b val="1"/>
        <color rgb="006C757D"/>
        <sz val="10"/>
      </font>
      <fill>
        <patternFill patternType="solid">
          <fgColor rgb="00F8F9FA"/>
          <bgColor rgb="00F8F9F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50" customWidth="1" min="3" max="3"/>
  </cols>
  <sheetData>
    <row r="2">
      <c r="B2" s="1" t="inlineStr">
        <is>
          <t>GANTT CHART INTERAKTIF KELOMPOK</t>
        </is>
      </c>
    </row>
    <row r="3">
      <c r="B3" s="2" t="inlineStr">
        <is>
          <t>Panduan Penggunaan Template untuk Koordinasi Tugas Kuliah</t>
        </is>
      </c>
    </row>
    <row r="5">
      <c r="B5" s="3" t="inlineStr">
        <is>
          <t>Cara Penggunaan Template</t>
        </is>
      </c>
    </row>
    <row r="7">
      <c r="B7" s="4" t="inlineStr">
        <is>
          <t>1. Set Tanggal Mulai</t>
        </is>
      </c>
      <c r="C7" s="5" t="inlineStr">
        <is>
          <t>Buka tab 'Gantt Chart Schedule' lalu isi tanggal mulai proyek di sel C4. Kalender sumbu waktu sebelah kanan akan bergeser otomatis.</t>
        </is>
      </c>
    </row>
    <row r="8">
      <c r="B8" s="4" t="inlineStr">
        <is>
          <t>2. Input Daftar Tugas</t>
        </is>
      </c>
      <c r="C8" s="5" t="inlineStr">
        <is>
          <t>Isi kolom Tugas (B12 dst) beserta PIC yang bertanggung jawab (C12 dst) pada tabel jadwal.</t>
        </is>
      </c>
    </row>
    <row r="9">
      <c r="B9" s="4" t="inlineStr">
        <is>
          <t>3. Input Tanggal Tugas</t>
        </is>
      </c>
      <c r="C9" s="5" t="inlineStr">
        <is>
          <t>Isi 'Start Date' dan 'End Date' tugas. Durasi (hari) akan dihitung otomatis oleh formula Excel.</t>
        </is>
      </c>
    </row>
    <row r="10">
      <c r="B10" s="4" t="inlineStr">
        <is>
          <t>4. Update Progress</t>
        </is>
      </c>
      <c r="C10" s="5" t="inlineStr">
        <is>
          <t>Masukkan persentase penyelesaian tugas di kolom '% Progress' (G12 dst, contoh: isi 0.5 untuk 50%). Status akan terupdate otomatis (Not Started, In Progress, Completed).</t>
        </is>
      </c>
    </row>
    <row r="11">
      <c r="B11" s="4" t="inlineStr">
        <is>
          <t>5. Pantau Gantt Chart</t>
        </is>
      </c>
      <c r="C11" s="5" t="inlineStr">
        <is>
          <t>Gantt Chart di kolom J ke kanan akan terarsir secara otomatis berdasarkan rentang tanggal tugas.</t>
        </is>
      </c>
    </row>
    <row r="12">
      <c r="B12" s="4" t="inlineStr">
        <is>
          <t>6. Pantau Dashboard KPI</t>
        </is>
      </c>
      <c r="C12" s="5" t="inlineStr">
        <is>
          <t>Buka tab 'KPI Dashboard' untuk melihat perkembangan keseluruhan proyek, sisa tugas, dan beban kerja per anggota kelompok.</t>
        </is>
      </c>
    </row>
    <row r="14">
      <c r="B14" s="3" t="inlineStr">
        <is>
          <t>Shortcut Excel Produktif</t>
        </is>
      </c>
    </row>
    <row r="16">
      <c r="B16" s="6" t="inlineStr">
        <is>
          <t>Shortcut</t>
        </is>
      </c>
      <c r="C16" s="6" t="inlineStr">
        <is>
          <t>Fungsi &amp; Kegunaan</t>
        </is>
      </c>
    </row>
    <row r="17">
      <c r="B17" s="7" t="inlineStr">
        <is>
          <t>Ctrl + ;</t>
        </is>
      </c>
      <c r="C17" s="8" t="inlineStr">
        <is>
          <t>Memasukkan tanggal hari ini secara instan.</t>
        </is>
      </c>
    </row>
    <row r="18">
      <c r="B18" s="7" t="inlineStr">
        <is>
          <t>F4</t>
        </is>
      </c>
      <c r="C18" s="8" t="inlineStr">
        <is>
          <t>Mengunci rumus menjadi absolut (tanda $) saat mengedit formula.</t>
        </is>
      </c>
    </row>
    <row r="19">
      <c r="B19" s="7" t="inlineStr">
        <is>
          <t>Alt + Enter</t>
        </is>
      </c>
      <c r="C19" s="8" t="inlineStr">
        <is>
          <t>Membuat baris baru di dalam satu sel yang sama (wrap text manual).</t>
        </is>
      </c>
    </row>
    <row r="20">
      <c r="B20" s="7" t="inlineStr">
        <is>
          <t>Ctrl + Z</t>
        </is>
      </c>
      <c r="C20" s="8" t="inlineStr">
        <is>
          <t>Membatalkan kesalahan edit terakhir (Undo).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5" customWidth="1" min="4" max="4"/>
    <col width="18" customWidth="1" min="5" max="5"/>
    <col width="18" customWidth="1" min="6" max="6"/>
    <col width="5" customWidth="1" min="7" max="7"/>
    <col width="25" customWidth="1" min="8" max="8"/>
    <col width="15" customWidth="1" min="9" max="9"/>
    <col width="18" customWidth="1" min="10" max="10"/>
  </cols>
  <sheetData>
    <row r="2">
      <c r="B2" s="1" t="inlineStr">
        <is>
          <t>DASHBOARD PERKEMBANGAN PROYEK</t>
        </is>
      </c>
    </row>
    <row r="3">
      <c r="B3" s="2" t="inlineStr">
        <is>
          <t>Rekapitulasi Kinerja Tugas Kelompok secara Real-Time</t>
        </is>
      </c>
    </row>
    <row r="5">
      <c r="B5" s="9" t="inlineStr">
        <is>
          <t>TOTAL TUGAS KELOMPOK</t>
        </is>
      </c>
      <c r="C5" s="10" t="n"/>
      <c r="E5" s="11" t="inlineStr">
        <is>
          <t>TUGAS SELESAI</t>
        </is>
      </c>
      <c r="F5" s="10" t="n"/>
      <c r="H5" s="12" t="inlineStr">
        <is>
          <t>SEDANG DIKERJAKAN</t>
        </is>
      </c>
      <c r="I5" s="10" t="n"/>
    </row>
    <row r="6">
      <c r="B6" s="13">
        <f>COUNTA('Gantt Chart Schedule'!B12:B50)</f>
        <v/>
      </c>
      <c r="C6" s="10" t="n"/>
      <c r="E6" s="14">
        <f>COUNTIF('Gantt Chart Schedule'!H12:H50, "Completed")</f>
        <v/>
      </c>
      <c r="F6" s="10" t="n"/>
      <c r="H6" s="15">
        <f>COUNTIF('Gantt Chart Schedule'!H12:H50, "In Progress")</f>
        <v/>
      </c>
      <c r="I6" s="10" t="n"/>
    </row>
    <row r="7">
      <c r="B7" s="10" t="n"/>
      <c r="C7" s="10" t="n"/>
      <c r="E7" s="10" t="n"/>
      <c r="F7" s="10" t="n"/>
      <c r="H7" s="10" t="n"/>
      <c r="I7" s="10" t="n"/>
    </row>
    <row r="9">
      <c r="B9" s="3" t="inlineStr">
        <is>
          <t>TOTAL PROGRESS PROYEK:</t>
        </is>
      </c>
      <c r="E9" s="16">
        <f>AVERAGE('Gantt Chart Schedule'!G12:G50)</f>
        <v/>
      </c>
    </row>
    <row r="12">
      <c r="B12" s="3" t="inlineStr">
        <is>
          <t>BEBAN KERJA &amp; PROGRESS ANGGOTA KELOMPOK</t>
        </is>
      </c>
    </row>
    <row r="14">
      <c r="B14" s="17" t="inlineStr">
        <is>
          <t>Nama Anggota (PIC)</t>
        </is>
      </c>
      <c r="C14" s="17" t="inlineStr">
        <is>
          <t>Jumlah Tugas</t>
        </is>
      </c>
      <c r="E14" s="17" t="inlineStr">
        <is>
          <t>Rata-rata Progress</t>
        </is>
      </c>
    </row>
    <row r="15">
      <c r="B15" s="18" t="inlineStr">
        <is>
          <t>Bariandono</t>
        </is>
      </c>
      <c r="C15" s="19">
        <f>COUNTIF('Gantt Chart Schedule'!C$12:C$50, B15)</f>
        <v/>
      </c>
      <c r="E15" s="20">
        <f>IF(C15=0, 0, AVERAGEIFS('Gantt Chart Schedule'!G$12:G$50, 'Gantt Chart Schedule'!C$12:C$50, B15))</f>
        <v/>
      </c>
    </row>
    <row r="16">
      <c r="B16" s="21" t="inlineStr">
        <is>
          <t>Ajie</t>
        </is>
      </c>
      <c r="C16" s="22">
        <f>COUNTIF('Gantt Chart Schedule'!C$12:C$50, B16)</f>
        <v/>
      </c>
      <c r="E16" s="23">
        <f>IF(C16=0, 0, AVERAGEIFS('Gantt Chart Schedule'!G$12:G$50, 'Gantt Chart Schedule'!C$12:C$50, B16))</f>
        <v/>
      </c>
    </row>
    <row r="17">
      <c r="B17" s="18" t="inlineStr">
        <is>
          <t>Sarah</t>
        </is>
      </c>
      <c r="C17" s="19">
        <f>COUNTIF('Gantt Chart Schedule'!C$12:C$50, B17)</f>
        <v/>
      </c>
      <c r="E17" s="20">
        <f>IF(C17=0, 0, AVERAGEIFS('Gantt Chart Schedule'!G$12:G$50, 'Gantt Chart Schedule'!C$12:C$50, B17))</f>
        <v/>
      </c>
    </row>
    <row r="18">
      <c r="B18" s="21" t="inlineStr">
        <is>
          <t>Dewi</t>
        </is>
      </c>
      <c r="C18" s="22">
        <f>COUNTIF('Gantt Chart Schedule'!C$12:C$50, B18)</f>
        <v/>
      </c>
      <c r="E18" s="23">
        <f>IF(C18=0, 0, AVERAGEIFS('Gantt Chart Schedule'!G$12:G$50, 'Gantt Chart Schedule'!C$12:C$50, B18))</f>
        <v/>
      </c>
    </row>
  </sheetData>
  <mergeCells count="6">
    <mergeCell ref="E6:F7"/>
    <mergeCell ref="H6:I7"/>
    <mergeCell ref="B5:C5"/>
    <mergeCell ref="E5:F5"/>
    <mergeCell ref="B6:C7"/>
    <mergeCell ref="H5:I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M51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2" customWidth="1" min="4" max="4"/>
    <col width="12" customWidth="1" min="5" max="5"/>
    <col width="9" customWidth="1" min="6" max="6"/>
    <col width="11" customWidth="1" min="7" max="7"/>
    <col width="13" customWidth="1" min="8" max="8"/>
    <col width="3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</cols>
  <sheetData>
    <row r="2">
      <c r="B2" s="1" t="inlineStr">
        <is>
          <t>JADWAL TUGAS &amp; GANTT CHART KELOMPOK</t>
        </is>
      </c>
    </row>
    <row r="4">
      <c r="B4" s="24" t="inlineStr">
        <is>
          <t>Project Start Date:</t>
        </is>
      </c>
      <c r="C4" s="25" t="inlineStr">
        <is>
          <t>2026-06-15</t>
        </is>
      </c>
    </row>
    <row r="5">
      <c r="B5" s="26" t="inlineStr">
        <is>
          <t>Total Project Duration:</t>
        </is>
      </c>
      <c r="C5" s="27">
        <f>MAX(E12:E50)-MIN(D12:D50)+1</f>
        <v/>
      </c>
    </row>
    <row r="9">
      <c r="J9" s="28" t="inlineStr">
        <is>
          <t>H-1</t>
        </is>
      </c>
      <c r="K9" s="28" t="inlineStr">
        <is>
          <t>H-2</t>
        </is>
      </c>
      <c r="L9" s="28" t="inlineStr">
        <is>
          <t>H-3</t>
        </is>
      </c>
      <c r="M9" s="28" t="inlineStr">
        <is>
          <t>H-4</t>
        </is>
      </c>
      <c r="N9" s="28" t="inlineStr">
        <is>
          <t>H-5</t>
        </is>
      </c>
      <c r="O9" s="28" t="inlineStr">
        <is>
          <t>H-6</t>
        </is>
      </c>
      <c r="P9" s="28" t="inlineStr">
        <is>
          <t>H-7</t>
        </is>
      </c>
      <c r="Q9" s="28" t="inlineStr">
        <is>
          <t>H-8</t>
        </is>
      </c>
      <c r="R9" s="28" t="inlineStr">
        <is>
          <t>H-9</t>
        </is>
      </c>
      <c r="S9" s="28" t="inlineStr">
        <is>
          <t>H-10</t>
        </is>
      </c>
      <c r="T9" s="28" t="inlineStr">
        <is>
          <t>H-11</t>
        </is>
      </c>
      <c r="U9" s="28" t="inlineStr">
        <is>
          <t>H-12</t>
        </is>
      </c>
      <c r="V9" s="28" t="inlineStr">
        <is>
          <t>H-13</t>
        </is>
      </c>
      <c r="W9" s="28" t="inlineStr">
        <is>
          <t>H-14</t>
        </is>
      </c>
      <c r="X9" s="28" t="inlineStr">
        <is>
          <t>H-15</t>
        </is>
      </c>
      <c r="Y9" s="28" t="inlineStr">
        <is>
          <t>H-16</t>
        </is>
      </c>
      <c r="Z9" s="28" t="inlineStr">
        <is>
          <t>H-17</t>
        </is>
      </c>
      <c r="AA9" s="28" t="inlineStr">
        <is>
          <t>H-18</t>
        </is>
      </c>
      <c r="AB9" s="28" t="inlineStr">
        <is>
          <t>H-19</t>
        </is>
      </c>
      <c r="AC9" s="28" t="inlineStr">
        <is>
          <t>H-20</t>
        </is>
      </c>
      <c r="AD9" s="28" t="inlineStr">
        <is>
          <t>H-21</t>
        </is>
      </c>
      <c r="AE9" s="28" t="inlineStr">
        <is>
          <t>H-22</t>
        </is>
      </c>
      <c r="AF9" s="28" t="inlineStr">
        <is>
          <t>H-23</t>
        </is>
      </c>
      <c r="AG9" s="28" t="inlineStr">
        <is>
          <t>H-24</t>
        </is>
      </c>
      <c r="AH9" s="28" t="inlineStr">
        <is>
          <t>H-25</t>
        </is>
      </c>
      <c r="AI9" s="28" t="inlineStr">
        <is>
          <t>H-26</t>
        </is>
      </c>
      <c r="AJ9" s="28" t="inlineStr">
        <is>
          <t>H-27</t>
        </is>
      </c>
      <c r="AK9" s="28" t="inlineStr">
        <is>
          <t>H-28</t>
        </is>
      </c>
      <c r="AL9" s="28" t="inlineStr">
        <is>
          <t>H-29</t>
        </is>
      </c>
      <c r="AM9" s="28" t="inlineStr">
        <is>
          <t>H-30</t>
        </is>
      </c>
    </row>
    <row r="10">
      <c r="J10" s="29">
        <f>$C$4</f>
        <v/>
      </c>
      <c r="K10" s="29">
        <f>J10+1</f>
        <v/>
      </c>
      <c r="L10" s="29">
        <f>K10+1</f>
        <v/>
      </c>
      <c r="M10" s="29">
        <f>L10+1</f>
        <v/>
      </c>
      <c r="N10" s="29">
        <f>M10+1</f>
        <v/>
      </c>
      <c r="O10" s="29">
        <f>N10+1</f>
        <v/>
      </c>
      <c r="P10" s="29">
        <f>O10+1</f>
        <v/>
      </c>
      <c r="Q10" s="29">
        <f>P10+1</f>
        <v/>
      </c>
      <c r="R10" s="29">
        <f>Q10+1</f>
        <v/>
      </c>
      <c r="S10" s="29">
        <f>R10+1</f>
        <v/>
      </c>
      <c r="T10" s="29">
        <f>S10+1</f>
        <v/>
      </c>
      <c r="U10" s="29">
        <f>T10+1</f>
        <v/>
      </c>
      <c r="V10" s="29">
        <f>U10+1</f>
        <v/>
      </c>
      <c r="W10" s="29">
        <f>V10+1</f>
        <v/>
      </c>
      <c r="X10" s="29">
        <f>W10+1</f>
        <v/>
      </c>
      <c r="Y10" s="29">
        <f>X10+1</f>
        <v/>
      </c>
      <c r="Z10" s="29">
        <f>Y10+1</f>
        <v/>
      </c>
      <c r="AA10" s="29">
        <f>Z10+1</f>
        <v/>
      </c>
      <c r="AB10" s="29">
        <f>AA10+1</f>
        <v/>
      </c>
      <c r="AC10" s="29">
        <f>AB10+1</f>
        <v/>
      </c>
      <c r="AD10" s="29">
        <f>AC10+1</f>
        <v/>
      </c>
      <c r="AE10" s="29">
        <f>AD10+1</f>
        <v/>
      </c>
      <c r="AF10" s="29">
        <f>AE10+1</f>
        <v/>
      </c>
      <c r="AG10" s="29">
        <f>AF10+1</f>
        <v/>
      </c>
      <c r="AH10" s="29">
        <f>AG10+1</f>
        <v/>
      </c>
      <c r="AI10" s="29">
        <f>AH10+1</f>
        <v/>
      </c>
      <c r="AJ10" s="29">
        <f>AI10+1</f>
        <v/>
      </c>
      <c r="AK10" s="29">
        <f>AJ10+1</f>
        <v/>
      </c>
      <c r="AL10" s="29">
        <f>AK10+1</f>
        <v/>
      </c>
      <c r="AM10" s="29">
        <f>AL10+1</f>
        <v/>
      </c>
    </row>
    <row r="11">
      <c r="A11" s="30" t="inlineStr">
        <is>
          <t>ID</t>
        </is>
      </c>
      <c r="B11" s="30" t="inlineStr">
        <is>
          <t>Nama Tugas / Kegiatan</t>
        </is>
      </c>
      <c r="C11" s="30" t="inlineStr">
        <is>
          <t>PIC (Anggota)</t>
        </is>
      </c>
      <c r="D11" s="30" t="inlineStr">
        <is>
          <t>Start Date</t>
        </is>
      </c>
      <c r="E11" s="30" t="inlineStr">
        <is>
          <t>End Date</t>
        </is>
      </c>
      <c r="F11" s="30" t="inlineStr">
        <is>
          <t>Durasi</t>
        </is>
      </c>
      <c r="G11" s="30" t="inlineStr">
        <is>
          <t>Progress</t>
        </is>
      </c>
      <c r="H11" s="30" t="inlineStr">
        <is>
          <t>Status</t>
        </is>
      </c>
      <c r="I11" s="31" t="n"/>
      <c r="J11" s="31" t="n"/>
      <c r="K11" s="31" t="n"/>
      <c r="L11" s="31" t="n"/>
      <c r="M11" s="31" t="n"/>
      <c r="N11" s="31" t="n"/>
      <c r="O11" s="31" t="n"/>
      <c r="P11" s="31" t="n"/>
      <c r="Q11" s="31" t="n"/>
      <c r="R11" s="31" t="n"/>
      <c r="S11" s="31" t="n"/>
      <c r="T11" s="31" t="n"/>
      <c r="U11" s="31" t="n"/>
      <c r="V11" s="31" t="n"/>
      <c r="W11" s="31" t="n"/>
      <c r="X11" s="31" t="n"/>
      <c r="Y11" s="31" t="n"/>
      <c r="Z11" s="31" t="n"/>
      <c r="AA11" s="31" t="n"/>
      <c r="AB11" s="31" t="n"/>
      <c r="AC11" s="31" t="n"/>
      <c r="AD11" s="31" t="n"/>
      <c r="AE11" s="31" t="n"/>
      <c r="AF11" s="31" t="n"/>
      <c r="AG11" s="31" t="n"/>
      <c r="AH11" s="31" t="n"/>
      <c r="AI11" s="31" t="n"/>
      <c r="AJ11" s="31" t="n"/>
      <c r="AK11" s="31" t="n"/>
      <c r="AL11" s="31" t="n"/>
      <c r="AM11" s="31" t="n"/>
    </row>
    <row r="12">
      <c r="A12" s="7" t="inlineStr">
        <is>
          <t>1</t>
        </is>
      </c>
      <c r="B12" s="8" t="inlineStr">
        <is>
          <t>Riset Topik &amp; Cari Masalah</t>
        </is>
      </c>
      <c r="C12" s="19" t="inlineStr">
        <is>
          <t>Bariandono</t>
        </is>
      </c>
      <c r="D12" s="32" t="inlineStr">
        <is>
          <t>2026-06-15</t>
        </is>
      </c>
      <c r="E12" s="32" t="inlineStr">
        <is>
          <t>2026-06-18</t>
        </is>
      </c>
      <c r="F12" s="19">
        <f>IF(OR(ISBLANK(D12), ISBLANK(E12)), "", E12-D12+1)</f>
        <v/>
      </c>
      <c r="G12" s="33" t="n">
        <v>1</v>
      </c>
      <c r="H12" s="7">
        <f>IF(ISBLANK(B12), "", IF(G12=0, "Not Started", IF(G12=1, "Completed", "In Progress")))</f>
        <v/>
      </c>
      <c r="I12" s="34" t="n"/>
      <c r="J12" s="35">
        <f>IF(AND(NOT(ISBLANK(D12)), J$10&gt;=D12, J$10&lt;=E12), "█", "")</f>
        <v/>
      </c>
      <c r="K12" s="35">
        <f>IF(AND(NOT(ISBLANK(D12)), K$10&gt;=D12, K$10&lt;=E12), "█", "")</f>
        <v/>
      </c>
      <c r="L12" s="35">
        <f>IF(AND(NOT(ISBLANK(D12)), L$10&gt;=D12, L$10&lt;=E12), "█", "")</f>
        <v/>
      </c>
      <c r="M12" s="35">
        <f>IF(AND(NOT(ISBLANK(D12)), M$10&gt;=D12, M$10&lt;=E12), "█", "")</f>
        <v/>
      </c>
      <c r="N12" s="35">
        <f>IF(AND(NOT(ISBLANK(D12)), N$10&gt;=D12, N$10&lt;=E12), "█", "")</f>
        <v/>
      </c>
      <c r="O12" s="35">
        <f>IF(AND(NOT(ISBLANK(D12)), O$10&gt;=D12, O$10&lt;=E12), "█", "")</f>
        <v/>
      </c>
      <c r="P12" s="35">
        <f>IF(AND(NOT(ISBLANK(D12)), P$10&gt;=D12, P$10&lt;=E12), "█", "")</f>
        <v/>
      </c>
      <c r="Q12" s="35">
        <f>IF(AND(NOT(ISBLANK(D12)), Q$10&gt;=D12, Q$10&lt;=E12), "█", "")</f>
        <v/>
      </c>
      <c r="R12" s="35">
        <f>IF(AND(NOT(ISBLANK(D12)), R$10&gt;=D12, R$10&lt;=E12), "█", "")</f>
        <v/>
      </c>
      <c r="S12" s="35">
        <f>IF(AND(NOT(ISBLANK(D12)), S$10&gt;=D12, S$10&lt;=E12), "█", "")</f>
        <v/>
      </c>
      <c r="T12" s="35">
        <f>IF(AND(NOT(ISBLANK(D12)), T$10&gt;=D12, T$10&lt;=E12), "█", "")</f>
        <v/>
      </c>
      <c r="U12" s="35">
        <f>IF(AND(NOT(ISBLANK(D12)), U$10&gt;=D12, U$10&lt;=E12), "█", "")</f>
        <v/>
      </c>
      <c r="V12" s="35">
        <f>IF(AND(NOT(ISBLANK(D12)), V$10&gt;=D12, V$10&lt;=E12), "█", "")</f>
        <v/>
      </c>
      <c r="W12" s="35">
        <f>IF(AND(NOT(ISBLANK(D12)), W$10&gt;=D12, W$10&lt;=E12), "█", "")</f>
        <v/>
      </c>
      <c r="X12" s="35">
        <f>IF(AND(NOT(ISBLANK(D12)), X$10&gt;=D12, X$10&lt;=E12), "█", "")</f>
        <v/>
      </c>
      <c r="Y12" s="35">
        <f>IF(AND(NOT(ISBLANK(D12)), Y$10&gt;=D12, Y$10&lt;=E12), "█", "")</f>
        <v/>
      </c>
      <c r="Z12" s="35">
        <f>IF(AND(NOT(ISBLANK(D12)), Z$10&gt;=D12, Z$10&lt;=E12), "█", "")</f>
        <v/>
      </c>
      <c r="AA12" s="35">
        <f>IF(AND(NOT(ISBLANK(D12)), AA$10&gt;=D12, AA$10&lt;=E12), "█", "")</f>
        <v/>
      </c>
      <c r="AB12" s="35">
        <f>IF(AND(NOT(ISBLANK(D12)), AB$10&gt;=D12, AB$10&lt;=E12), "█", "")</f>
        <v/>
      </c>
      <c r="AC12" s="35">
        <f>IF(AND(NOT(ISBLANK(D12)), AC$10&gt;=D12, AC$10&lt;=E12), "█", "")</f>
        <v/>
      </c>
      <c r="AD12" s="35">
        <f>IF(AND(NOT(ISBLANK(D12)), AD$10&gt;=D12, AD$10&lt;=E12), "█", "")</f>
        <v/>
      </c>
      <c r="AE12" s="35">
        <f>IF(AND(NOT(ISBLANK(D12)), AE$10&gt;=D12, AE$10&lt;=E12), "█", "")</f>
        <v/>
      </c>
      <c r="AF12" s="35">
        <f>IF(AND(NOT(ISBLANK(D12)), AF$10&gt;=D12, AF$10&lt;=E12), "█", "")</f>
        <v/>
      </c>
      <c r="AG12" s="35">
        <f>IF(AND(NOT(ISBLANK(D12)), AG$10&gt;=D12, AG$10&lt;=E12), "█", "")</f>
        <v/>
      </c>
      <c r="AH12" s="35">
        <f>IF(AND(NOT(ISBLANK(D12)), AH$10&gt;=D12, AH$10&lt;=E12), "█", "")</f>
        <v/>
      </c>
      <c r="AI12" s="35">
        <f>IF(AND(NOT(ISBLANK(D12)), AI$10&gt;=D12, AI$10&lt;=E12), "█", "")</f>
        <v/>
      </c>
      <c r="AJ12" s="35">
        <f>IF(AND(NOT(ISBLANK(D12)), AJ$10&gt;=D12, AJ$10&lt;=E12), "█", "")</f>
        <v/>
      </c>
      <c r="AK12" s="35">
        <f>IF(AND(NOT(ISBLANK(D12)), AK$10&gt;=D12, AK$10&lt;=E12), "█", "")</f>
        <v/>
      </c>
      <c r="AL12" s="35">
        <f>IF(AND(NOT(ISBLANK(D12)), AL$10&gt;=D12, AL$10&lt;=E12), "█", "")</f>
        <v/>
      </c>
      <c r="AM12" s="35">
        <f>IF(AND(NOT(ISBLANK(D12)), AM$10&gt;=D12, AM$10&lt;=E12), "█", "")</f>
        <v/>
      </c>
    </row>
    <row r="13">
      <c r="A13" s="36" t="inlineStr">
        <is>
          <t>2</t>
        </is>
      </c>
      <c r="B13" s="37" t="inlineStr">
        <is>
          <t>Desain Outline Proyek</t>
        </is>
      </c>
      <c r="C13" s="22" t="inlineStr">
        <is>
          <t>Ajie</t>
        </is>
      </c>
      <c r="D13" s="38" t="inlineStr">
        <is>
          <t>2026-06-19</t>
        </is>
      </c>
      <c r="E13" s="38" t="inlineStr">
        <is>
          <t>2026-06-21</t>
        </is>
      </c>
      <c r="F13" s="22">
        <f>IF(OR(ISBLANK(D13), ISBLANK(E13)), "", E13-D13+1)</f>
        <v/>
      </c>
      <c r="G13" s="39" t="n">
        <v>0.8</v>
      </c>
      <c r="H13" s="36">
        <f>IF(ISBLANK(B13), "", IF(G13=0, "Not Started", IF(G13=1, "Completed", "In Progress")))</f>
        <v/>
      </c>
      <c r="I13" s="34" t="n"/>
      <c r="J13" s="35">
        <f>IF(AND(NOT(ISBLANK(D13)), J$10&gt;=D13, J$10&lt;=E13), "█", "")</f>
        <v/>
      </c>
      <c r="K13" s="35">
        <f>IF(AND(NOT(ISBLANK(D13)), K$10&gt;=D13, K$10&lt;=E13), "█", "")</f>
        <v/>
      </c>
      <c r="L13" s="35">
        <f>IF(AND(NOT(ISBLANK(D13)), L$10&gt;=D13, L$10&lt;=E13), "█", "")</f>
        <v/>
      </c>
      <c r="M13" s="35">
        <f>IF(AND(NOT(ISBLANK(D13)), M$10&gt;=D13, M$10&lt;=E13), "█", "")</f>
        <v/>
      </c>
      <c r="N13" s="35">
        <f>IF(AND(NOT(ISBLANK(D13)), N$10&gt;=D13, N$10&lt;=E13), "█", "")</f>
        <v/>
      </c>
      <c r="O13" s="35">
        <f>IF(AND(NOT(ISBLANK(D13)), O$10&gt;=D13, O$10&lt;=E13), "█", "")</f>
        <v/>
      </c>
      <c r="P13" s="35">
        <f>IF(AND(NOT(ISBLANK(D13)), P$10&gt;=D13, P$10&lt;=E13), "█", "")</f>
        <v/>
      </c>
      <c r="Q13" s="35">
        <f>IF(AND(NOT(ISBLANK(D13)), Q$10&gt;=D13, Q$10&lt;=E13), "█", "")</f>
        <v/>
      </c>
      <c r="R13" s="35">
        <f>IF(AND(NOT(ISBLANK(D13)), R$10&gt;=D13, R$10&lt;=E13), "█", "")</f>
        <v/>
      </c>
      <c r="S13" s="35">
        <f>IF(AND(NOT(ISBLANK(D13)), S$10&gt;=D13, S$10&lt;=E13), "█", "")</f>
        <v/>
      </c>
      <c r="T13" s="35">
        <f>IF(AND(NOT(ISBLANK(D13)), T$10&gt;=D13, T$10&lt;=E13), "█", "")</f>
        <v/>
      </c>
      <c r="U13" s="35">
        <f>IF(AND(NOT(ISBLANK(D13)), U$10&gt;=D13, U$10&lt;=E13), "█", "")</f>
        <v/>
      </c>
      <c r="V13" s="35">
        <f>IF(AND(NOT(ISBLANK(D13)), V$10&gt;=D13, V$10&lt;=E13), "█", "")</f>
        <v/>
      </c>
      <c r="W13" s="35">
        <f>IF(AND(NOT(ISBLANK(D13)), W$10&gt;=D13, W$10&lt;=E13), "█", "")</f>
        <v/>
      </c>
      <c r="X13" s="35">
        <f>IF(AND(NOT(ISBLANK(D13)), X$10&gt;=D13, X$10&lt;=E13), "█", "")</f>
        <v/>
      </c>
      <c r="Y13" s="35">
        <f>IF(AND(NOT(ISBLANK(D13)), Y$10&gt;=D13, Y$10&lt;=E13), "█", "")</f>
        <v/>
      </c>
      <c r="Z13" s="35">
        <f>IF(AND(NOT(ISBLANK(D13)), Z$10&gt;=D13, Z$10&lt;=E13), "█", "")</f>
        <v/>
      </c>
      <c r="AA13" s="35">
        <f>IF(AND(NOT(ISBLANK(D13)), AA$10&gt;=D13, AA$10&lt;=E13), "█", "")</f>
        <v/>
      </c>
      <c r="AB13" s="35">
        <f>IF(AND(NOT(ISBLANK(D13)), AB$10&gt;=D13, AB$10&lt;=E13), "█", "")</f>
        <v/>
      </c>
      <c r="AC13" s="35">
        <f>IF(AND(NOT(ISBLANK(D13)), AC$10&gt;=D13, AC$10&lt;=E13), "█", "")</f>
        <v/>
      </c>
      <c r="AD13" s="35">
        <f>IF(AND(NOT(ISBLANK(D13)), AD$10&gt;=D13, AD$10&lt;=E13), "█", "")</f>
        <v/>
      </c>
      <c r="AE13" s="35">
        <f>IF(AND(NOT(ISBLANK(D13)), AE$10&gt;=D13, AE$10&lt;=E13), "█", "")</f>
        <v/>
      </c>
      <c r="AF13" s="35">
        <f>IF(AND(NOT(ISBLANK(D13)), AF$10&gt;=D13, AF$10&lt;=E13), "█", "")</f>
        <v/>
      </c>
      <c r="AG13" s="35">
        <f>IF(AND(NOT(ISBLANK(D13)), AG$10&gt;=D13, AG$10&lt;=E13), "█", "")</f>
        <v/>
      </c>
      <c r="AH13" s="35">
        <f>IF(AND(NOT(ISBLANK(D13)), AH$10&gt;=D13, AH$10&lt;=E13), "█", "")</f>
        <v/>
      </c>
      <c r="AI13" s="35">
        <f>IF(AND(NOT(ISBLANK(D13)), AI$10&gt;=D13, AI$10&lt;=E13), "█", "")</f>
        <v/>
      </c>
      <c r="AJ13" s="35">
        <f>IF(AND(NOT(ISBLANK(D13)), AJ$10&gt;=D13, AJ$10&lt;=E13), "█", "")</f>
        <v/>
      </c>
      <c r="AK13" s="35">
        <f>IF(AND(NOT(ISBLANK(D13)), AK$10&gt;=D13, AK$10&lt;=E13), "█", "")</f>
        <v/>
      </c>
      <c r="AL13" s="35">
        <f>IF(AND(NOT(ISBLANK(D13)), AL$10&gt;=D13, AL$10&lt;=E13), "█", "")</f>
        <v/>
      </c>
      <c r="AM13" s="35">
        <f>IF(AND(NOT(ISBLANK(D13)), AM$10&gt;=D13, AM$10&lt;=E13), "█", "")</f>
        <v/>
      </c>
    </row>
    <row r="14">
      <c r="A14" s="7" t="inlineStr">
        <is>
          <t>3</t>
        </is>
      </c>
      <c r="B14" s="8" t="inlineStr">
        <is>
          <t>Pengumpulan Data Kuesioner</t>
        </is>
      </c>
      <c r="C14" s="19" t="inlineStr">
        <is>
          <t>Sarah</t>
        </is>
      </c>
      <c r="D14" s="32" t="inlineStr">
        <is>
          <t>2026-06-22</t>
        </is>
      </c>
      <c r="E14" s="32" t="inlineStr">
        <is>
          <t>2026-06-27</t>
        </is>
      </c>
      <c r="F14" s="19">
        <f>IF(OR(ISBLANK(D14), ISBLANK(E14)), "", E14-D14+1)</f>
        <v/>
      </c>
      <c r="G14" s="33" t="n">
        <v>0.3</v>
      </c>
      <c r="H14" s="7">
        <f>IF(ISBLANK(B14), "", IF(G14=0, "Not Started", IF(G14=1, "Completed", "In Progress")))</f>
        <v/>
      </c>
      <c r="I14" s="34" t="n"/>
      <c r="J14" s="35">
        <f>IF(AND(NOT(ISBLANK(D14)), J$10&gt;=D14, J$10&lt;=E14), "█", "")</f>
        <v/>
      </c>
      <c r="K14" s="35">
        <f>IF(AND(NOT(ISBLANK(D14)), K$10&gt;=D14, K$10&lt;=E14), "█", "")</f>
        <v/>
      </c>
      <c r="L14" s="35">
        <f>IF(AND(NOT(ISBLANK(D14)), L$10&gt;=D14, L$10&lt;=E14), "█", "")</f>
        <v/>
      </c>
      <c r="M14" s="35">
        <f>IF(AND(NOT(ISBLANK(D14)), M$10&gt;=D14, M$10&lt;=E14), "█", "")</f>
        <v/>
      </c>
      <c r="N14" s="35">
        <f>IF(AND(NOT(ISBLANK(D14)), N$10&gt;=D14, N$10&lt;=E14), "█", "")</f>
        <v/>
      </c>
      <c r="O14" s="35">
        <f>IF(AND(NOT(ISBLANK(D14)), O$10&gt;=D14, O$10&lt;=E14), "█", "")</f>
        <v/>
      </c>
      <c r="P14" s="35">
        <f>IF(AND(NOT(ISBLANK(D14)), P$10&gt;=D14, P$10&lt;=E14), "█", "")</f>
        <v/>
      </c>
      <c r="Q14" s="35">
        <f>IF(AND(NOT(ISBLANK(D14)), Q$10&gt;=D14, Q$10&lt;=E14), "█", "")</f>
        <v/>
      </c>
      <c r="R14" s="35">
        <f>IF(AND(NOT(ISBLANK(D14)), R$10&gt;=D14, R$10&lt;=E14), "█", "")</f>
        <v/>
      </c>
      <c r="S14" s="35">
        <f>IF(AND(NOT(ISBLANK(D14)), S$10&gt;=D14, S$10&lt;=E14), "█", "")</f>
        <v/>
      </c>
      <c r="T14" s="35">
        <f>IF(AND(NOT(ISBLANK(D14)), T$10&gt;=D14, T$10&lt;=E14), "█", "")</f>
        <v/>
      </c>
      <c r="U14" s="35">
        <f>IF(AND(NOT(ISBLANK(D14)), U$10&gt;=D14, U$10&lt;=E14), "█", "")</f>
        <v/>
      </c>
      <c r="V14" s="35">
        <f>IF(AND(NOT(ISBLANK(D14)), V$10&gt;=D14, V$10&lt;=E14), "█", "")</f>
        <v/>
      </c>
      <c r="W14" s="35">
        <f>IF(AND(NOT(ISBLANK(D14)), W$10&gt;=D14, W$10&lt;=E14), "█", "")</f>
        <v/>
      </c>
      <c r="X14" s="35">
        <f>IF(AND(NOT(ISBLANK(D14)), X$10&gt;=D14, X$10&lt;=E14), "█", "")</f>
        <v/>
      </c>
      <c r="Y14" s="35">
        <f>IF(AND(NOT(ISBLANK(D14)), Y$10&gt;=D14, Y$10&lt;=E14), "█", "")</f>
        <v/>
      </c>
      <c r="Z14" s="35">
        <f>IF(AND(NOT(ISBLANK(D14)), Z$10&gt;=D14, Z$10&lt;=E14), "█", "")</f>
        <v/>
      </c>
      <c r="AA14" s="35">
        <f>IF(AND(NOT(ISBLANK(D14)), AA$10&gt;=D14, AA$10&lt;=E14), "█", "")</f>
        <v/>
      </c>
      <c r="AB14" s="35">
        <f>IF(AND(NOT(ISBLANK(D14)), AB$10&gt;=D14, AB$10&lt;=E14), "█", "")</f>
        <v/>
      </c>
      <c r="AC14" s="35">
        <f>IF(AND(NOT(ISBLANK(D14)), AC$10&gt;=D14, AC$10&lt;=E14), "█", "")</f>
        <v/>
      </c>
      <c r="AD14" s="35">
        <f>IF(AND(NOT(ISBLANK(D14)), AD$10&gt;=D14, AD$10&lt;=E14), "█", "")</f>
        <v/>
      </c>
      <c r="AE14" s="35">
        <f>IF(AND(NOT(ISBLANK(D14)), AE$10&gt;=D14, AE$10&lt;=E14), "█", "")</f>
        <v/>
      </c>
      <c r="AF14" s="35">
        <f>IF(AND(NOT(ISBLANK(D14)), AF$10&gt;=D14, AF$10&lt;=E14), "█", "")</f>
        <v/>
      </c>
      <c r="AG14" s="35">
        <f>IF(AND(NOT(ISBLANK(D14)), AG$10&gt;=D14, AG$10&lt;=E14), "█", "")</f>
        <v/>
      </c>
      <c r="AH14" s="35">
        <f>IF(AND(NOT(ISBLANK(D14)), AH$10&gt;=D14, AH$10&lt;=E14), "█", "")</f>
        <v/>
      </c>
      <c r="AI14" s="35">
        <f>IF(AND(NOT(ISBLANK(D14)), AI$10&gt;=D14, AI$10&lt;=E14), "█", "")</f>
        <v/>
      </c>
      <c r="AJ14" s="35">
        <f>IF(AND(NOT(ISBLANK(D14)), AJ$10&gt;=D14, AJ$10&lt;=E14), "█", "")</f>
        <v/>
      </c>
      <c r="AK14" s="35">
        <f>IF(AND(NOT(ISBLANK(D14)), AK$10&gt;=D14, AK$10&lt;=E14), "█", "")</f>
        <v/>
      </c>
      <c r="AL14" s="35">
        <f>IF(AND(NOT(ISBLANK(D14)), AL$10&gt;=D14, AL$10&lt;=E14), "█", "")</f>
        <v/>
      </c>
      <c r="AM14" s="35">
        <f>IF(AND(NOT(ISBLANK(D14)), AM$10&gt;=D14, AM$10&lt;=E14), "█", "")</f>
        <v/>
      </c>
    </row>
    <row r="15">
      <c r="A15" s="36" t="inlineStr">
        <is>
          <t>4</t>
        </is>
      </c>
      <c r="B15" s="37" t="inlineStr">
        <is>
          <t>Olahan Data SPSS/Stata</t>
        </is>
      </c>
      <c r="C15" s="22" t="inlineStr">
        <is>
          <t>Dewi</t>
        </is>
      </c>
      <c r="D15" s="38" t="inlineStr">
        <is>
          <t>2026-06-28</t>
        </is>
      </c>
      <c r="E15" s="38" t="inlineStr">
        <is>
          <t>2026-06-30</t>
        </is>
      </c>
      <c r="F15" s="22">
        <f>IF(OR(ISBLANK(D15), ISBLANK(E15)), "", E15-D15+1)</f>
        <v/>
      </c>
      <c r="G15" s="39" t="n">
        <v>0</v>
      </c>
      <c r="H15" s="36">
        <f>IF(ISBLANK(B15), "", IF(G15=0, "Not Started", IF(G15=1, "Completed", "In Progress")))</f>
        <v/>
      </c>
      <c r="I15" s="34" t="n"/>
      <c r="J15" s="35">
        <f>IF(AND(NOT(ISBLANK(D15)), J$10&gt;=D15, J$10&lt;=E15), "█", "")</f>
        <v/>
      </c>
      <c r="K15" s="35">
        <f>IF(AND(NOT(ISBLANK(D15)), K$10&gt;=D15, K$10&lt;=E15), "█", "")</f>
        <v/>
      </c>
      <c r="L15" s="35">
        <f>IF(AND(NOT(ISBLANK(D15)), L$10&gt;=D15, L$10&lt;=E15), "█", "")</f>
        <v/>
      </c>
      <c r="M15" s="35">
        <f>IF(AND(NOT(ISBLANK(D15)), M$10&gt;=D15, M$10&lt;=E15), "█", "")</f>
        <v/>
      </c>
      <c r="N15" s="35">
        <f>IF(AND(NOT(ISBLANK(D15)), N$10&gt;=D15, N$10&lt;=E15), "█", "")</f>
        <v/>
      </c>
      <c r="O15" s="35">
        <f>IF(AND(NOT(ISBLANK(D15)), O$10&gt;=D15, O$10&lt;=E15), "█", "")</f>
        <v/>
      </c>
      <c r="P15" s="35">
        <f>IF(AND(NOT(ISBLANK(D15)), P$10&gt;=D15, P$10&lt;=E15), "█", "")</f>
        <v/>
      </c>
      <c r="Q15" s="35">
        <f>IF(AND(NOT(ISBLANK(D15)), Q$10&gt;=D15, Q$10&lt;=E15), "█", "")</f>
        <v/>
      </c>
      <c r="R15" s="35">
        <f>IF(AND(NOT(ISBLANK(D15)), R$10&gt;=D15, R$10&lt;=E15), "█", "")</f>
        <v/>
      </c>
      <c r="S15" s="35">
        <f>IF(AND(NOT(ISBLANK(D15)), S$10&gt;=D15, S$10&lt;=E15), "█", "")</f>
        <v/>
      </c>
      <c r="T15" s="35">
        <f>IF(AND(NOT(ISBLANK(D15)), T$10&gt;=D15, T$10&lt;=E15), "█", "")</f>
        <v/>
      </c>
      <c r="U15" s="35">
        <f>IF(AND(NOT(ISBLANK(D15)), U$10&gt;=D15, U$10&lt;=E15), "█", "")</f>
        <v/>
      </c>
      <c r="V15" s="35">
        <f>IF(AND(NOT(ISBLANK(D15)), V$10&gt;=D15, V$10&lt;=E15), "█", "")</f>
        <v/>
      </c>
      <c r="W15" s="35">
        <f>IF(AND(NOT(ISBLANK(D15)), W$10&gt;=D15, W$10&lt;=E15), "█", "")</f>
        <v/>
      </c>
      <c r="X15" s="35">
        <f>IF(AND(NOT(ISBLANK(D15)), X$10&gt;=D15, X$10&lt;=E15), "█", "")</f>
        <v/>
      </c>
      <c r="Y15" s="35">
        <f>IF(AND(NOT(ISBLANK(D15)), Y$10&gt;=D15, Y$10&lt;=E15), "█", "")</f>
        <v/>
      </c>
      <c r="Z15" s="35">
        <f>IF(AND(NOT(ISBLANK(D15)), Z$10&gt;=D15, Z$10&lt;=E15), "█", "")</f>
        <v/>
      </c>
      <c r="AA15" s="35">
        <f>IF(AND(NOT(ISBLANK(D15)), AA$10&gt;=D15, AA$10&lt;=E15), "█", "")</f>
        <v/>
      </c>
      <c r="AB15" s="35">
        <f>IF(AND(NOT(ISBLANK(D15)), AB$10&gt;=D15, AB$10&lt;=E15), "█", "")</f>
        <v/>
      </c>
      <c r="AC15" s="35">
        <f>IF(AND(NOT(ISBLANK(D15)), AC$10&gt;=D15, AC$10&lt;=E15), "█", "")</f>
        <v/>
      </c>
      <c r="AD15" s="35">
        <f>IF(AND(NOT(ISBLANK(D15)), AD$10&gt;=D15, AD$10&lt;=E15), "█", "")</f>
        <v/>
      </c>
      <c r="AE15" s="35">
        <f>IF(AND(NOT(ISBLANK(D15)), AE$10&gt;=D15, AE$10&lt;=E15), "█", "")</f>
        <v/>
      </c>
      <c r="AF15" s="35">
        <f>IF(AND(NOT(ISBLANK(D15)), AF$10&gt;=D15, AF$10&lt;=E15), "█", "")</f>
        <v/>
      </c>
      <c r="AG15" s="35">
        <f>IF(AND(NOT(ISBLANK(D15)), AG$10&gt;=D15, AG$10&lt;=E15), "█", "")</f>
        <v/>
      </c>
      <c r="AH15" s="35">
        <f>IF(AND(NOT(ISBLANK(D15)), AH$10&gt;=D15, AH$10&lt;=E15), "█", "")</f>
        <v/>
      </c>
      <c r="AI15" s="35">
        <f>IF(AND(NOT(ISBLANK(D15)), AI$10&gt;=D15, AI$10&lt;=E15), "█", "")</f>
        <v/>
      </c>
      <c r="AJ15" s="35">
        <f>IF(AND(NOT(ISBLANK(D15)), AJ$10&gt;=D15, AJ$10&lt;=E15), "█", "")</f>
        <v/>
      </c>
      <c r="AK15" s="35">
        <f>IF(AND(NOT(ISBLANK(D15)), AK$10&gt;=D15, AK$10&lt;=E15), "█", "")</f>
        <v/>
      </c>
      <c r="AL15" s="35">
        <f>IF(AND(NOT(ISBLANK(D15)), AL$10&gt;=D15, AL$10&lt;=E15), "█", "")</f>
        <v/>
      </c>
      <c r="AM15" s="35">
        <f>IF(AND(NOT(ISBLANK(D15)), AM$10&gt;=D15, AM$10&lt;=E15), "█", "")</f>
        <v/>
      </c>
    </row>
    <row r="16">
      <c r="A16" s="7" t="inlineStr">
        <is>
          <t>5</t>
        </is>
      </c>
      <c r="B16" s="8" t="inlineStr">
        <is>
          <t>Penyusunan Draf Bab I-III</t>
        </is>
      </c>
      <c r="C16" s="19" t="inlineStr">
        <is>
          <t>Bariandono</t>
        </is>
      </c>
      <c r="D16" s="32" t="inlineStr">
        <is>
          <t>2026-07-01</t>
        </is>
      </c>
      <c r="E16" s="32" t="inlineStr">
        <is>
          <t>2026-07-05</t>
        </is>
      </c>
      <c r="F16" s="19">
        <f>IF(OR(ISBLANK(D16), ISBLANK(E16)), "", E16-D16+1)</f>
        <v/>
      </c>
      <c r="G16" s="33" t="n">
        <v>0</v>
      </c>
      <c r="H16" s="7">
        <f>IF(ISBLANK(B16), "", IF(G16=0, "Not Started", IF(G16=1, "Completed", "In Progress")))</f>
        <v/>
      </c>
      <c r="I16" s="34" t="n"/>
      <c r="J16" s="35">
        <f>IF(AND(NOT(ISBLANK(D16)), J$10&gt;=D16, J$10&lt;=E16), "█", "")</f>
        <v/>
      </c>
      <c r="K16" s="35">
        <f>IF(AND(NOT(ISBLANK(D16)), K$10&gt;=D16, K$10&lt;=E16), "█", "")</f>
        <v/>
      </c>
      <c r="L16" s="35">
        <f>IF(AND(NOT(ISBLANK(D16)), L$10&gt;=D16, L$10&lt;=E16), "█", "")</f>
        <v/>
      </c>
      <c r="M16" s="35">
        <f>IF(AND(NOT(ISBLANK(D16)), M$10&gt;=D16, M$10&lt;=E16), "█", "")</f>
        <v/>
      </c>
      <c r="N16" s="35">
        <f>IF(AND(NOT(ISBLANK(D16)), N$10&gt;=D16, N$10&lt;=E16), "█", "")</f>
        <v/>
      </c>
      <c r="O16" s="35">
        <f>IF(AND(NOT(ISBLANK(D16)), O$10&gt;=D16, O$10&lt;=E16), "█", "")</f>
        <v/>
      </c>
      <c r="P16" s="35">
        <f>IF(AND(NOT(ISBLANK(D16)), P$10&gt;=D16, P$10&lt;=E16), "█", "")</f>
        <v/>
      </c>
      <c r="Q16" s="35">
        <f>IF(AND(NOT(ISBLANK(D16)), Q$10&gt;=D16, Q$10&lt;=E16), "█", "")</f>
        <v/>
      </c>
      <c r="R16" s="35">
        <f>IF(AND(NOT(ISBLANK(D16)), R$10&gt;=D16, R$10&lt;=E16), "█", "")</f>
        <v/>
      </c>
      <c r="S16" s="35">
        <f>IF(AND(NOT(ISBLANK(D16)), S$10&gt;=D16, S$10&lt;=E16), "█", "")</f>
        <v/>
      </c>
      <c r="T16" s="35">
        <f>IF(AND(NOT(ISBLANK(D16)), T$10&gt;=D16, T$10&lt;=E16), "█", "")</f>
        <v/>
      </c>
      <c r="U16" s="35">
        <f>IF(AND(NOT(ISBLANK(D16)), U$10&gt;=D16, U$10&lt;=E16), "█", "")</f>
        <v/>
      </c>
      <c r="V16" s="35">
        <f>IF(AND(NOT(ISBLANK(D16)), V$10&gt;=D16, V$10&lt;=E16), "█", "")</f>
        <v/>
      </c>
      <c r="W16" s="35">
        <f>IF(AND(NOT(ISBLANK(D16)), W$10&gt;=D16, W$10&lt;=E16), "█", "")</f>
        <v/>
      </c>
      <c r="X16" s="35">
        <f>IF(AND(NOT(ISBLANK(D16)), X$10&gt;=D16, X$10&lt;=E16), "█", "")</f>
        <v/>
      </c>
      <c r="Y16" s="35">
        <f>IF(AND(NOT(ISBLANK(D16)), Y$10&gt;=D16, Y$10&lt;=E16), "█", "")</f>
        <v/>
      </c>
      <c r="Z16" s="35">
        <f>IF(AND(NOT(ISBLANK(D16)), Z$10&gt;=D16, Z$10&lt;=E16), "█", "")</f>
        <v/>
      </c>
      <c r="AA16" s="35">
        <f>IF(AND(NOT(ISBLANK(D16)), AA$10&gt;=D16, AA$10&lt;=E16), "█", "")</f>
        <v/>
      </c>
      <c r="AB16" s="35">
        <f>IF(AND(NOT(ISBLANK(D16)), AB$10&gt;=D16, AB$10&lt;=E16), "█", "")</f>
        <v/>
      </c>
      <c r="AC16" s="35">
        <f>IF(AND(NOT(ISBLANK(D16)), AC$10&gt;=D16, AC$10&lt;=E16), "█", "")</f>
        <v/>
      </c>
      <c r="AD16" s="35">
        <f>IF(AND(NOT(ISBLANK(D16)), AD$10&gt;=D16, AD$10&lt;=E16), "█", "")</f>
        <v/>
      </c>
      <c r="AE16" s="35">
        <f>IF(AND(NOT(ISBLANK(D16)), AE$10&gt;=D16, AE$10&lt;=E16), "█", "")</f>
        <v/>
      </c>
      <c r="AF16" s="35">
        <f>IF(AND(NOT(ISBLANK(D16)), AF$10&gt;=D16, AF$10&lt;=E16), "█", "")</f>
        <v/>
      </c>
      <c r="AG16" s="35">
        <f>IF(AND(NOT(ISBLANK(D16)), AG$10&gt;=D16, AG$10&lt;=E16), "█", "")</f>
        <v/>
      </c>
      <c r="AH16" s="35">
        <f>IF(AND(NOT(ISBLANK(D16)), AH$10&gt;=D16, AH$10&lt;=E16), "█", "")</f>
        <v/>
      </c>
      <c r="AI16" s="35">
        <f>IF(AND(NOT(ISBLANK(D16)), AI$10&gt;=D16, AI$10&lt;=E16), "█", "")</f>
        <v/>
      </c>
      <c r="AJ16" s="35">
        <f>IF(AND(NOT(ISBLANK(D16)), AJ$10&gt;=D16, AJ$10&lt;=E16), "█", "")</f>
        <v/>
      </c>
      <c r="AK16" s="35">
        <f>IF(AND(NOT(ISBLANK(D16)), AK$10&gt;=D16, AK$10&lt;=E16), "█", "")</f>
        <v/>
      </c>
      <c r="AL16" s="35">
        <f>IF(AND(NOT(ISBLANK(D16)), AL$10&gt;=D16, AL$10&lt;=E16), "█", "")</f>
        <v/>
      </c>
      <c r="AM16" s="35">
        <f>IF(AND(NOT(ISBLANK(D16)), AM$10&gt;=D16, AM$10&lt;=E16), "█", "")</f>
        <v/>
      </c>
    </row>
    <row r="17">
      <c r="A17" s="36" t="inlineStr">
        <is>
          <t>6</t>
        </is>
      </c>
      <c r="B17" s="37" t="inlineStr">
        <is>
          <t>Redesain PPT Sidang Sempro</t>
        </is>
      </c>
      <c r="C17" s="22" t="inlineStr">
        <is>
          <t>Ajie</t>
        </is>
      </c>
      <c r="D17" s="38" t="inlineStr">
        <is>
          <t>2026-07-06</t>
        </is>
      </c>
      <c r="E17" s="38" t="inlineStr">
        <is>
          <t>2026-07-10</t>
        </is>
      </c>
      <c r="F17" s="22">
        <f>IF(OR(ISBLANK(D17), ISBLANK(E17)), "", E17-D17+1)</f>
        <v/>
      </c>
      <c r="G17" s="39" t="n">
        <v>0</v>
      </c>
      <c r="H17" s="36">
        <f>IF(ISBLANK(B17), "", IF(G17=0, "Not Started", IF(G17=1, "Completed", "In Progress")))</f>
        <v/>
      </c>
      <c r="I17" s="34" t="n"/>
      <c r="J17" s="35">
        <f>IF(AND(NOT(ISBLANK(D17)), J$10&gt;=D17, J$10&lt;=E17), "█", "")</f>
        <v/>
      </c>
      <c r="K17" s="35">
        <f>IF(AND(NOT(ISBLANK(D17)), K$10&gt;=D17, K$10&lt;=E17), "█", "")</f>
        <v/>
      </c>
      <c r="L17" s="35">
        <f>IF(AND(NOT(ISBLANK(D17)), L$10&gt;=D17, L$10&lt;=E17), "█", "")</f>
        <v/>
      </c>
      <c r="M17" s="35">
        <f>IF(AND(NOT(ISBLANK(D17)), M$10&gt;=D17, M$10&lt;=E17), "█", "")</f>
        <v/>
      </c>
      <c r="N17" s="35">
        <f>IF(AND(NOT(ISBLANK(D17)), N$10&gt;=D17, N$10&lt;=E17), "█", "")</f>
        <v/>
      </c>
      <c r="O17" s="35">
        <f>IF(AND(NOT(ISBLANK(D17)), O$10&gt;=D17, O$10&lt;=E17), "█", "")</f>
        <v/>
      </c>
      <c r="P17" s="35">
        <f>IF(AND(NOT(ISBLANK(D17)), P$10&gt;=D17, P$10&lt;=E17), "█", "")</f>
        <v/>
      </c>
      <c r="Q17" s="35">
        <f>IF(AND(NOT(ISBLANK(D17)), Q$10&gt;=D17, Q$10&lt;=E17), "█", "")</f>
        <v/>
      </c>
      <c r="R17" s="35">
        <f>IF(AND(NOT(ISBLANK(D17)), R$10&gt;=D17, R$10&lt;=E17), "█", "")</f>
        <v/>
      </c>
      <c r="S17" s="35">
        <f>IF(AND(NOT(ISBLANK(D17)), S$10&gt;=D17, S$10&lt;=E17), "█", "")</f>
        <v/>
      </c>
      <c r="T17" s="35">
        <f>IF(AND(NOT(ISBLANK(D17)), T$10&gt;=D17, T$10&lt;=E17), "█", "")</f>
        <v/>
      </c>
      <c r="U17" s="35">
        <f>IF(AND(NOT(ISBLANK(D17)), U$10&gt;=D17, U$10&lt;=E17), "█", "")</f>
        <v/>
      </c>
      <c r="V17" s="35">
        <f>IF(AND(NOT(ISBLANK(D17)), V$10&gt;=D17, V$10&lt;=E17), "█", "")</f>
        <v/>
      </c>
      <c r="W17" s="35">
        <f>IF(AND(NOT(ISBLANK(D17)), W$10&gt;=D17, W$10&lt;=E17), "█", "")</f>
        <v/>
      </c>
      <c r="X17" s="35">
        <f>IF(AND(NOT(ISBLANK(D17)), X$10&gt;=D17, X$10&lt;=E17), "█", "")</f>
        <v/>
      </c>
      <c r="Y17" s="35">
        <f>IF(AND(NOT(ISBLANK(D17)), Y$10&gt;=D17, Y$10&lt;=E17), "█", "")</f>
        <v/>
      </c>
      <c r="Z17" s="35">
        <f>IF(AND(NOT(ISBLANK(D17)), Z$10&gt;=D17, Z$10&lt;=E17), "█", "")</f>
        <v/>
      </c>
      <c r="AA17" s="35">
        <f>IF(AND(NOT(ISBLANK(D17)), AA$10&gt;=D17, AA$10&lt;=E17), "█", "")</f>
        <v/>
      </c>
      <c r="AB17" s="35">
        <f>IF(AND(NOT(ISBLANK(D17)), AB$10&gt;=D17, AB$10&lt;=E17), "█", "")</f>
        <v/>
      </c>
      <c r="AC17" s="35">
        <f>IF(AND(NOT(ISBLANK(D17)), AC$10&gt;=D17, AC$10&lt;=E17), "█", "")</f>
        <v/>
      </c>
      <c r="AD17" s="35">
        <f>IF(AND(NOT(ISBLANK(D17)), AD$10&gt;=D17, AD$10&lt;=E17), "█", "")</f>
        <v/>
      </c>
      <c r="AE17" s="35">
        <f>IF(AND(NOT(ISBLANK(D17)), AE$10&gt;=D17, AE$10&lt;=E17), "█", "")</f>
        <v/>
      </c>
      <c r="AF17" s="35">
        <f>IF(AND(NOT(ISBLANK(D17)), AF$10&gt;=D17, AF$10&lt;=E17), "█", "")</f>
        <v/>
      </c>
      <c r="AG17" s="35">
        <f>IF(AND(NOT(ISBLANK(D17)), AG$10&gt;=D17, AG$10&lt;=E17), "█", "")</f>
        <v/>
      </c>
      <c r="AH17" s="35">
        <f>IF(AND(NOT(ISBLANK(D17)), AH$10&gt;=D17, AH$10&lt;=E17), "█", "")</f>
        <v/>
      </c>
      <c r="AI17" s="35">
        <f>IF(AND(NOT(ISBLANK(D17)), AI$10&gt;=D17, AI$10&lt;=E17), "█", "")</f>
        <v/>
      </c>
      <c r="AJ17" s="35">
        <f>IF(AND(NOT(ISBLANK(D17)), AJ$10&gt;=D17, AJ$10&lt;=E17), "█", "")</f>
        <v/>
      </c>
      <c r="AK17" s="35">
        <f>IF(AND(NOT(ISBLANK(D17)), AK$10&gt;=D17, AK$10&lt;=E17), "█", "")</f>
        <v/>
      </c>
      <c r="AL17" s="35">
        <f>IF(AND(NOT(ISBLANK(D17)), AL$10&gt;=D17, AL$10&lt;=E17), "█", "")</f>
        <v/>
      </c>
      <c r="AM17" s="35">
        <f>IF(AND(NOT(ISBLANK(D17)), AM$10&gt;=D17, AM$10&lt;=E17), "█", "")</f>
        <v/>
      </c>
    </row>
    <row r="18">
      <c r="A18" s="7" t="inlineStr">
        <is>
          <t>7</t>
        </is>
      </c>
      <c r="B18" s="8" t="inlineStr">
        <is>
          <t>Review Plagiasi &amp; Turnitin</t>
        </is>
      </c>
      <c r="C18" s="19" t="inlineStr">
        <is>
          <t>Sarah</t>
        </is>
      </c>
      <c r="D18" s="32" t="inlineStr">
        <is>
          <t>2026-07-11</t>
        </is>
      </c>
      <c r="E18" s="32" t="inlineStr">
        <is>
          <t>2026-07-13</t>
        </is>
      </c>
      <c r="F18" s="19">
        <f>IF(OR(ISBLANK(D18), ISBLANK(E18)), "", E18-D18+1)</f>
        <v/>
      </c>
      <c r="G18" s="33" t="n">
        <v>0</v>
      </c>
      <c r="H18" s="7">
        <f>IF(ISBLANK(B18), "", IF(G18=0, "Not Started", IF(G18=1, "Completed", "In Progress")))</f>
        <v/>
      </c>
      <c r="I18" s="34" t="n"/>
      <c r="J18" s="35">
        <f>IF(AND(NOT(ISBLANK(D18)), J$10&gt;=D18, J$10&lt;=E18), "█", "")</f>
        <v/>
      </c>
      <c r="K18" s="35">
        <f>IF(AND(NOT(ISBLANK(D18)), K$10&gt;=D18, K$10&lt;=E18), "█", "")</f>
        <v/>
      </c>
      <c r="L18" s="35">
        <f>IF(AND(NOT(ISBLANK(D18)), L$10&gt;=D18, L$10&lt;=E18), "█", "")</f>
        <v/>
      </c>
      <c r="M18" s="35">
        <f>IF(AND(NOT(ISBLANK(D18)), M$10&gt;=D18, M$10&lt;=E18), "█", "")</f>
        <v/>
      </c>
      <c r="N18" s="35">
        <f>IF(AND(NOT(ISBLANK(D18)), N$10&gt;=D18, N$10&lt;=E18), "█", "")</f>
        <v/>
      </c>
      <c r="O18" s="35">
        <f>IF(AND(NOT(ISBLANK(D18)), O$10&gt;=D18, O$10&lt;=E18), "█", "")</f>
        <v/>
      </c>
      <c r="P18" s="35">
        <f>IF(AND(NOT(ISBLANK(D18)), P$10&gt;=D18, P$10&lt;=E18), "█", "")</f>
        <v/>
      </c>
      <c r="Q18" s="35">
        <f>IF(AND(NOT(ISBLANK(D18)), Q$10&gt;=D18, Q$10&lt;=E18), "█", "")</f>
        <v/>
      </c>
      <c r="R18" s="35">
        <f>IF(AND(NOT(ISBLANK(D18)), R$10&gt;=D18, R$10&lt;=E18), "█", "")</f>
        <v/>
      </c>
      <c r="S18" s="35">
        <f>IF(AND(NOT(ISBLANK(D18)), S$10&gt;=D18, S$10&lt;=E18), "█", "")</f>
        <v/>
      </c>
      <c r="T18" s="35">
        <f>IF(AND(NOT(ISBLANK(D18)), T$10&gt;=D18, T$10&lt;=E18), "█", "")</f>
        <v/>
      </c>
      <c r="U18" s="35">
        <f>IF(AND(NOT(ISBLANK(D18)), U$10&gt;=D18, U$10&lt;=E18), "█", "")</f>
        <v/>
      </c>
      <c r="V18" s="35">
        <f>IF(AND(NOT(ISBLANK(D18)), V$10&gt;=D18, V$10&lt;=E18), "█", "")</f>
        <v/>
      </c>
      <c r="W18" s="35">
        <f>IF(AND(NOT(ISBLANK(D18)), W$10&gt;=D18, W$10&lt;=E18), "█", "")</f>
        <v/>
      </c>
      <c r="X18" s="35">
        <f>IF(AND(NOT(ISBLANK(D18)), X$10&gt;=D18, X$10&lt;=E18), "█", "")</f>
        <v/>
      </c>
      <c r="Y18" s="35">
        <f>IF(AND(NOT(ISBLANK(D18)), Y$10&gt;=D18, Y$10&lt;=E18), "█", "")</f>
        <v/>
      </c>
      <c r="Z18" s="35">
        <f>IF(AND(NOT(ISBLANK(D18)), Z$10&gt;=D18, Z$10&lt;=E18), "█", "")</f>
        <v/>
      </c>
      <c r="AA18" s="35">
        <f>IF(AND(NOT(ISBLANK(D18)), AA$10&gt;=D18, AA$10&lt;=E18), "█", "")</f>
        <v/>
      </c>
      <c r="AB18" s="35">
        <f>IF(AND(NOT(ISBLANK(D18)), AB$10&gt;=D18, AB$10&lt;=E18), "█", "")</f>
        <v/>
      </c>
      <c r="AC18" s="35">
        <f>IF(AND(NOT(ISBLANK(D18)), AC$10&gt;=D18, AC$10&lt;=E18), "█", "")</f>
        <v/>
      </c>
      <c r="AD18" s="35">
        <f>IF(AND(NOT(ISBLANK(D18)), AD$10&gt;=D18, AD$10&lt;=E18), "█", "")</f>
        <v/>
      </c>
      <c r="AE18" s="35">
        <f>IF(AND(NOT(ISBLANK(D18)), AE$10&gt;=D18, AE$10&lt;=E18), "█", "")</f>
        <v/>
      </c>
      <c r="AF18" s="35">
        <f>IF(AND(NOT(ISBLANK(D18)), AF$10&gt;=D18, AF$10&lt;=E18), "█", "")</f>
        <v/>
      </c>
      <c r="AG18" s="35">
        <f>IF(AND(NOT(ISBLANK(D18)), AG$10&gt;=D18, AG$10&lt;=E18), "█", "")</f>
        <v/>
      </c>
      <c r="AH18" s="35">
        <f>IF(AND(NOT(ISBLANK(D18)), AH$10&gt;=D18, AH$10&lt;=E18), "█", "")</f>
        <v/>
      </c>
      <c r="AI18" s="35">
        <f>IF(AND(NOT(ISBLANK(D18)), AI$10&gt;=D18, AI$10&lt;=E18), "█", "")</f>
        <v/>
      </c>
      <c r="AJ18" s="35">
        <f>IF(AND(NOT(ISBLANK(D18)), AJ$10&gt;=D18, AJ$10&lt;=E18), "█", "")</f>
        <v/>
      </c>
      <c r="AK18" s="35">
        <f>IF(AND(NOT(ISBLANK(D18)), AK$10&gt;=D18, AK$10&lt;=E18), "█", "")</f>
        <v/>
      </c>
      <c r="AL18" s="35">
        <f>IF(AND(NOT(ISBLANK(D18)), AL$10&gt;=D18, AL$10&lt;=E18), "█", "")</f>
        <v/>
      </c>
      <c r="AM18" s="35">
        <f>IF(AND(NOT(ISBLANK(D18)), AM$10&gt;=D18, AM$10&lt;=E18), "█", "")</f>
        <v/>
      </c>
    </row>
    <row r="19">
      <c r="A19" s="36" t="inlineStr">
        <is>
          <t>8</t>
        </is>
      </c>
      <c r="B19" s="37" t="inlineStr">
        <is>
          <t>Finalisasi &amp; Pendaftaran Sidang</t>
        </is>
      </c>
      <c r="C19" s="22" t="inlineStr">
        <is>
          <t>Dewi</t>
        </is>
      </c>
      <c r="D19" s="38" t="inlineStr">
        <is>
          <t>2026-07-14</t>
        </is>
      </c>
      <c r="E19" s="38" t="inlineStr">
        <is>
          <t>2026-07-15</t>
        </is>
      </c>
      <c r="F19" s="22">
        <f>IF(OR(ISBLANK(D19), ISBLANK(E19)), "", E19-D19+1)</f>
        <v/>
      </c>
      <c r="G19" s="39" t="n">
        <v>0</v>
      </c>
      <c r="H19" s="36">
        <f>IF(ISBLANK(B19), "", IF(G19=0, "Not Started", IF(G19=1, "Completed", "In Progress")))</f>
        <v/>
      </c>
      <c r="I19" s="34" t="n"/>
      <c r="J19" s="35">
        <f>IF(AND(NOT(ISBLANK(D19)), J$10&gt;=D19, J$10&lt;=E19), "█", "")</f>
        <v/>
      </c>
      <c r="K19" s="35">
        <f>IF(AND(NOT(ISBLANK(D19)), K$10&gt;=D19, K$10&lt;=E19), "█", "")</f>
        <v/>
      </c>
      <c r="L19" s="35">
        <f>IF(AND(NOT(ISBLANK(D19)), L$10&gt;=D19, L$10&lt;=E19), "█", "")</f>
        <v/>
      </c>
      <c r="M19" s="35">
        <f>IF(AND(NOT(ISBLANK(D19)), M$10&gt;=D19, M$10&lt;=E19), "█", "")</f>
        <v/>
      </c>
      <c r="N19" s="35">
        <f>IF(AND(NOT(ISBLANK(D19)), N$10&gt;=D19, N$10&lt;=E19), "█", "")</f>
        <v/>
      </c>
      <c r="O19" s="35">
        <f>IF(AND(NOT(ISBLANK(D19)), O$10&gt;=D19, O$10&lt;=E19), "█", "")</f>
        <v/>
      </c>
      <c r="P19" s="35">
        <f>IF(AND(NOT(ISBLANK(D19)), P$10&gt;=D19, P$10&lt;=E19), "█", "")</f>
        <v/>
      </c>
      <c r="Q19" s="35">
        <f>IF(AND(NOT(ISBLANK(D19)), Q$10&gt;=D19, Q$10&lt;=E19), "█", "")</f>
        <v/>
      </c>
      <c r="R19" s="35">
        <f>IF(AND(NOT(ISBLANK(D19)), R$10&gt;=D19, R$10&lt;=E19), "█", "")</f>
        <v/>
      </c>
      <c r="S19" s="35">
        <f>IF(AND(NOT(ISBLANK(D19)), S$10&gt;=D19, S$10&lt;=E19), "█", "")</f>
        <v/>
      </c>
      <c r="T19" s="35">
        <f>IF(AND(NOT(ISBLANK(D19)), T$10&gt;=D19, T$10&lt;=E19), "█", "")</f>
        <v/>
      </c>
      <c r="U19" s="35">
        <f>IF(AND(NOT(ISBLANK(D19)), U$10&gt;=D19, U$10&lt;=E19), "█", "")</f>
        <v/>
      </c>
      <c r="V19" s="35">
        <f>IF(AND(NOT(ISBLANK(D19)), V$10&gt;=D19, V$10&lt;=E19), "█", "")</f>
        <v/>
      </c>
      <c r="W19" s="35">
        <f>IF(AND(NOT(ISBLANK(D19)), W$10&gt;=D19, W$10&lt;=E19), "█", "")</f>
        <v/>
      </c>
      <c r="X19" s="35">
        <f>IF(AND(NOT(ISBLANK(D19)), X$10&gt;=D19, X$10&lt;=E19), "█", "")</f>
        <v/>
      </c>
      <c r="Y19" s="35">
        <f>IF(AND(NOT(ISBLANK(D19)), Y$10&gt;=D19, Y$10&lt;=E19), "█", "")</f>
        <v/>
      </c>
      <c r="Z19" s="35">
        <f>IF(AND(NOT(ISBLANK(D19)), Z$10&gt;=D19, Z$10&lt;=E19), "█", "")</f>
        <v/>
      </c>
      <c r="AA19" s="35">
        <f>IF(AND(NOT(ISBLANK(D19)), AA$10&gt;=D19, AA$10&lt;=E19), "█", "")</f>
        <v/>
      </c>
      <c r="AB19" s="35">
        <f>IF(AND(NOT(ISBLANK(D19)), AB$10&gt;=D19, AB$10&lt;=E19), "█", "")</f>
        <v/>
      </c>
      <c r="AC19" s="35">
        <f>IF(AND(NOT(ISBLANK(D19)), AC$10&gt;=D19, AC$10&lt;=E19), "█", "")</f>
        <v/>
      </c>
      <c r="AD19" s="35">
        <f>IF(AND(NOT(ISBLANK(D19)), AD$10&gt;=D19, AD$10&lt;=E19), "█", "")</f>
        <v/>
      </c>
      <c r="AE19" s="35">
        <f>IF(AND(NOT(ISBLANK(D19)), AE$10&gt;=D19, AE$10&lt;=E19), "█", "")</f>
        <v/>
      </c>
      <c r="AF19" s="35">
        <f>IF(AND(NOT(ISBLANK(D19)), AF$10&gt;=D19, AF$10&lt;=E19), "█", "")</f>
        <v/>
      </c>
      <c r="AG19" s="35">
        <f>IF(AND(NOT(ISBLANK(D19)), AG$10&gt;=D19, AG$10&lt;=E19), "█", "")</f>
        <v/>
      </c>
      <c r="AH19" s="35">
        <f>IF(AND(NOT(ISBLANK(D19)), AH$10&gt;=D19, AH$10&lt;=E19), "█", "")</f>
        <v/>
      </c>
      <c r="AI19" s="35">
        <f>IF(AND(NOT(ISBLANK(D19)), AI$10&gt;=D19, AI$10&lt;=E19), "█", "")</f>
        <v/>
      </c>
      <c r="AJ19" s="35">
        <f>IF(AND(NOT(ISBLANK(D19)), AJ$10&gt;=D19, AJ$10&lt;=E19), "█", "")</f>
        <v/>
      </c>
      <c r="AK19" s="35">
        <f>IF(AND(NOT(ISBLANK(D19)), AK$10&gt;=D19, AK$10&lt;=E19), "█", "")</f>
        <v/>
      </c>
      <c r="AL19" s="35">
        <f>IF(AND(NOT(ISBLANK(D19)), AL$10&gt;=D19, AL$10&lt;=E19), "█", "")</f>
        <v/>
      </c>
      <c r="AM19" s="35">
        <f>IF(AND(NOT(ISBLANK(D19)), AM$10&gt;=D19, AM$10&lt;=E19), "█", "")</f>
        <v/>
      </c>
    </row>
    <row r="20">
      <c r="A20" s="7" t="n">
        <v>9</v>
      </c>
      <c r="B20" s="8" t="inlineStr"/>
      <c r="C20" s="19" t="inlineStr"/>
      <c r="D20" s="32" t="inlineStr"/>
      <c r="E20" s="32" t="inlineStr"/>
      <c r="F20" s="19">
        <f>IF(OR(ISBLANK(D20), ISBLANK(E20)), "", E20-D20+1)</f>
        <v/>
      </c>
      <c r="G20" s="33" t="inlineStr"/>
      <c r="H20" s="7">
        <f>IF(ISBLANK(B20), "", IF(G20=0, "Not Started", IF(G20=1, "Completed", "In Progress")))</f>
        <v/>
      </c>
      <c r="I20" s="34" t="n"/>
      <c r="J20" s="35">
        <f>IF(AND(NOT(ISBLANK(D20)), J$10&gt;=D20, J$10&lt;=E20), "█", "")</f>
        <v/>
      </c>
      <c r="K20" s="35">
        <f>IF(AND(NOT(ISBLANK(D20)), K$10&gt;=D20, K$10&lt;=E20), "█", "")</f>
        <v/>
      </c>
      <c r="L20" s="35">
        <f>IF(AND(NOT(ISBLANK(D20)), L$10&gt;=D20, L$10&lt;=E20), "█", "")</f>
        <v/>
      </c>
      <c r="M20" s="35">
        <f>IF(AND(NOT(ISBLANK(D20)), M$10&gt;=D20, M$10&lt;=E20), "█", "")</f>
        <v/>
      </c>
      <c r="N20" s="35">
        <f>IF(AND(NOT(ISBLANK(D20)), N$10&gt;=D20, N$10&lt;=E20), "█", "")</f>
        <v/>
      </c>
      <c r="O20" s="35">
        <f>IF(AND(NOT(ISBLANK(D20)), O$10&gt;=D20, O$10&lt;=E20), "█", "")</f>
        <v/>
      </c>
      <c r="P20" s="35">
        <f>IF(AND(NOT(ISBLANK(D20)), P$10&gt;=D20, P$10&lt;=E20), "█", "")</f>
        <v/>
      </c>
      <c r="Q20" s="35">
        <f>IF(AND(NOT(ISBLANK(D20)), Q$10&gt;=D20, Q$10&lt;=E20), "█", "")</f>
        <v/>
      </c>
      <c r="R20" s="35">
        <f>IF(AND(NOT(ISBLANK(D20)), R$10&gt;=D20, R$10&lt;=E20), "█", "")</f>
        <v/>
      </c>
      <c r="S20" s="35">
        <f>IF(AND(NOT(ISBLANK(D20)), S$10&gt;=D20, S$10&lt;=E20), "█", "")</f>
        <v/>
      </c>
      <c r="T20" s="35">
        <f>IF(AND(NOT(ISBLANK(D20)), T$10&gt;=D20, T$10&lt;=E20), "█", "")</f>
        <v/>
      </c>
      <c r="U20" s="35">
        <f>IF(AND(NOT(ISBLANK(D20)), U$10&gt;=D20, U$10&lt;=E20), "█", "")</f>
        <v/>
      </c>
      <c r="V20" s="35">
        <f>IF(AND(NOT(ISBLANK(D20)), V$10&gt;=D20, V$10&lt;=E20), "█", "")</f>
        <v/>
      </c>
      <c r="W20" s="35">
        <f>IF(AND(NOT(ISBLANK(D20)), W$10&gt;=D20, W$10&lt;=E20), "█", "")</f>
        <v/>
      </c>
      <c r="X20" s="35">
        <f>IF(AND(NOT(ISBLANK(D20)), X$10&gt;=D20, X$10&lt;=E20), "█", "")</f>
        <v/>
      </c>
      <c r="Y20" s="35">
        <f>IF(AND(NOT(ISBLANK(D20)), Y$10&gt;=D20, Y$10&lt;=E20), "█", "")</f>
        <v/>
      </c>
      <c r="Z20" s="35">
        <f>IF(AND(NOT(ISBLANK(D20)), Z$10&gt;=D20, Z$10&lt;=E20), "█", "")</f>
        <v/>
      </c>
      <c r="AA20" s="35">
        <f>IF(AND(NOT(ISBLANK(D20)), AA$10&gt;=D20, AA$10&lt;=E20), "█", "")</f>
        <v/>
      </c>
      <c r="AB20" s="35">
        <f>IF(AND(NOT(ISBLANK(D20)), AB$10&gt;=D20, AB$10&lt;=E20), "█", "")</f>
        <v/>
      </c>
      <c r="AC20" s="35">
        <f>IF(AND(NOT(ISBLANK(D20)), AC$10&gt;=D20, AC$10&lt;=E20), "█", "")</f>
        <v/>
      </c>
      <c r="AD20" s="35">
        <f>IF(AND(NOT(ISBLANK(D20)), AD$10&gt;=D20, AD$10&lt;=E20), "█", "")</f>
        <v/>
      </c>
      <c r="AE20" s="35">
        <f>IF(AND(NOT(ISBLANK(D20)), AE$10&gt;=D20, AE$10&lt;=E20), "█", "")</f>
        <v/>
      </c>
      <c r="AF20" s="35">
        <f>IF(AND(NOT(ISBLANK(D20)), AF$10&gt;=D20, AF$10&lt;=E20), "█", "")</f>
        <v/>
      </c>
      <c r="AG20" s="35">
        <f>IF(AND(NOT(ISBLANK(D20)), AG$10&gt;=D20, AG$10&lt;=E20), "█", "")</f>
        <v/>
      </c>
      <c r="AH20" s="35">
        <f>IF(AND(NOT(ISBLANK(D20)), AH$10&gt;=D20, AH$10&lt;=E20), "█", "")</f>
        <v/>
      </c>
      <c r="AI20" s="35">
        <f>IF(AND(NOT(ISBLANK(D20)), AI$10&gt;=D20, AI$10&lt;=E20), "█", "")</f>
        <v/>
      </c>
      <c r="AJ20" s="35">
        <f>IF(AND(NOT(ISBLANK(D20)), AJ$10&gt;=D20, AJ$10&lt;=E20), "█", "")</f>
        <v/>
      </c>
      <c r="AK20" s="35">
        <f>IF(AND(NOT(ISBLANK(D20)), AK$10&gt;=D20, AK$10&lt;=E20), "█", "")</f>
        <v/>
      </c>
      <c r="AL20" s="35">
        <f>IF(AND(NOT(ISBLANK(D20)), AL$10&gt;=D20, AL$10&lt;=E20), "█", "")</f>
        <v/>
      </c>
      <c r="AM20" s="35">
        <f>IF(AND(NOT(ISBLANK(D20)), AM$10&gt;=D20, AM$10&lt;=E20), "█", "")</f>
        <v/>
      </c>
    </row>
    <row r="21">
      <c r="A21" s="36" t="n">
        <v>10</v>
      </c>
      <c r="B21" s="37" t="inlineStr"/>
      <c r="C21" s="22" t="inlineStr"/>
      <c r="D21" s="38" t="inlineStr"/>
      <c r="E21" s="38" t="inlineStr"/>
      <c r="F21" s="22">
        <f>IF(OR(ISBLANK(D21), ISBLANK(E21)), "", E21-D21+1)</f>
        <v/>
      </c>
      <c r="G21" s="39" t="inlineStr"/>
      <c r="H21" s="36">
        <f>IF(ISBLANK(B21), "", IF(G21=0, "Not Started", IF(G21=1, "Completed", "In Progress")))</f>
        <v/>
      </c>
      <c r="I21" s="34" t="n"/>
      <c r="J21" s="35">
        <f>IF(AND(NOT(ISBLANK(D21)), J$10&gt;=D21, J$10&lt;=E21), "█", "")</f>
        <v/>
      </c>
      <c r="K21" s="35">
        <f>IF(AND(NOT(ISBLANK(D21)), K$10&gt;=D21, K$10&lt;=E21), "█", "")</f>
        <v/>
      </c>
      <c r="L21" s="35">
        <f>IF(AND(NOT(ISBLANK(D21)), L$10&gt;=D21, L$10&lt;=E21), "█", "")</f>
        <v/>
      </c>
      <c r="M21" s="35">
        <f>IF(AND(NOT(ISBLANK(D21)), M$10&gt;=D21, M$10&lt;=E21), "█", "")</f>
        <v/>
      </c>
      <c r="N21" s="35">
        <f>IF(AND(NOT(ISBLANK(D21)), N$10&gt;=D21, N$10&lt;=E21), "█", "")</f>
        <v/>
      </c>
      <c r="O21" s="35">
        <f>IF(AND(NOT(ISBLANK(D21)), O$10&gt;=D21, O$10&lt;=E21), "█", "")</f>
        <v/>
      </c>
      <c r="P21" s="35">
        <f>IF(AND(NOT(ISBLANK(D21)), P$10&gt;=D21, P$10&lt;=E21), "█", "")</f>
        <v/>
      </c>
      <c r="Q21" s="35">
        <f>IF(AND(NOT(ISBLANK(D21)), Q$10&gt;=D21, Q$10&lt;=E21), "█", "")</f>
        <v/>
      </c>
      <c r="R21" s="35">
        <f>IF(AND(NOT(ISBLANK(D21)), R$10&gt;=D21, R$10&lt;=E21), "█", "")</f>
        <v/>
      </c>
      <c r="S21" s="35">
        <f>IF(AND(NOT(ISBLANK(D21)), S$10&gt;=D21, S$10&lt;=E21), "█", "")</f>
        <v/>
      </c>
      <c r="T21" s="35">
        <f>IF(AND(NOT(ISBLANK(D21)), T$10&gt;=D21, T$10&lt;=E21), "█", "")</f>
        <v/>
      </c>
      <c r="U21" s="35">
        <f>IF(AND(NOT(ISBLANK(D21)), U$10&gt;=D21, U$10&lt;=E21), "█", "")</f>
        <v/>
      </c>
      <c r="V21" s="35">
        <f>IF(AND(NOT(ISBLANK(D21)), V$10&gt;=D21, V$10&lt;=E21), "█", "")</f>
        <v/>
      </c>
      <c r="W21" s="35">
        <f>IF(AND(NOT(ISBLANK(D21)), W$10&gt;=D21, W$10&lt;=E21), "█", "")</f>
        <v/>
      </c>
      <c r="X21" s="35">
        <f>IF(AND(NOT(ISBLANK(D21)), X$10&gt;=D21, X$10&lt;=E21), "█", "")</f>
        <v/>
      </c>
      <c r="Y21" s="35">
        <f>IF(AND(NOT(ISBLANK(D21)), Y$10&gt;=D21, Y$10&lt;=E21), "█", "")</f>
        <v/>
      </c>
      <c r="Z21" s="35">
        <f>IF(AND(NOT(ISBLANK(D21)), Z$10&gt;=D21, Z$10&lt;=E21), "█", "")</f>
        <v/>
      </c>
      <c r="AA21" s="35">
        <f>IF(AND(NOT(ISBLANK(D21)), AA$10&gt;=D21, AA$10&lt;=E21), "█", "")</f>
        <v/>
      </c>
      <c r="AB21" s="35">
        <f>IF(AND(NOT(ISBLANK(D21)), AB$10&gt;=D21, AB$10&lt;=E21), "█", "")</f>
        <v/>
      </c>
      <c r="AC21" s="35">
        <f>IF(AND(NOT(ISBLANK(D21)), AC$10&gt;=D21, AC$10&lt;=E21), "█", "")</f>
        <v/>
      </c>
      <c r="AD21" s="35">
        <f>IF(AND(NOT(ISBLANK(D21)), AD$10&gt;=D21, AD$10&lt;=E21), "█", "")</f>
        <v/>
      </c>
      <c r="AE21" s="35">
        <f>IF(AND(NOT(ISBLANK(D21)), AE$10&gt;=D21, AE$10&lt;=E21), "█", "")</f>
        <v/>
      </c>
      <c r="AF21" s="35">
        <f>IF(AND(NOT(ISBLANK(D21)), AF$10&gt;=D21, AF$10&lt;=E21), "█", "")</f>
        <v/>
      </c>
      <c r="AG21" s="35">
        <f>IF(AND(NOT(ISBLANK(D21)), AG$10&gt;=D21, AG$10&lt;=E21), "█", "")</f>
        <v/>
      </c>
      <c r="AH21" s="35">
        <f>IF(AND(NOT(ISBLANK(D21)), AH$10&gt;=D21, AH$10&lt;=E21), "█", "")</f>
        <v/>
      </c>
      <c r="AI21" s="35">
        <f>IF(AND(NOT(ISBLANK(D21)), AI$10&gt;=D21, AI$10&lt;=E21), "█", "")</f>
        <v/>
      </c>
      <c r="AJ21" s="35">
        <f>IF(AND(NOT(ISBLANK(D21)), AJ$10&gt;=D21, AJ$10&lt;=E21), "█", "")</f>
        <v/>
      </c>
      <c r="AK21" s="35">
        <f>IF(AND(NOT(ISBLANK(D21)), AK$10&gt;=D21, AK$10&lt;=E21), "█", "")</f>
        <v/>
      </c>
      <c r="AL21" s="35">
        <f>IF(AND(NOT(ISBLANK(D21)), AL$10&gt;=D21, AL$10&lt;=E21), "█", "")</f>
        <v/>
      </c>
      <c r="AM21" s="35">
        <f>IF(AND(NOT(ISBLANK(D21)), AM$10&gt;=D21, AM$10&lt;=E21), "█", "")</f>
        <v/>
      </c>
    </row>
    <row r="22">
      <c r="A22" s="7" t="n">
        <v>11</v>
      </c>
      <c r="B22" s="8" t="inlineStr"/>
      <c r="C22" s="19" t="inlineStr"/>
      <c r="D22" s="32" t="inlineStr"/>
      <c r="E22" s="32" t="inlineStr"/>
      <c r="F22" s="19">
        <f>IF(OR(ISBLANK(D22), ISBLANK(E22)), "", E22-D22+1)</f>
        <v/>
      </c>
      <c r="G22" s="33" t="inlineStr"/>
      <c r="H22" s="7">
        <f>IF(ISBLANK(B22), "", IF(G22=0, "Not Started", IF(G22=1, "Completed", "In Progress")))</f>
        <v/>
      </c>
      <c r="I22" s="34" t="n"/>
      <c r="J22" s="35">
        <f>IF(AND(NOT(ISBLANK(D22)), J$10&gt;=D22, J$10&lt;=E22), "█", "")</f>
        <v/>
      </c>
      <c r="K22" s="35">
        <f>IF(AND(NOT(ISBLANK(D22)), K$10&gt;=D22, K$10&lt;=E22), "█", "")</f>
        <v/>
      </c>
      <c r="L22" s="35">
        <f>IF(AND(NOT(ISBLANK(D22)), L$10&gt;=D22, L$10&lt;=E22), "█", "")</f>
        <v/>
      </c>
      <c r="M22" s="35">
        <f>IF(AND(NOT(ISBLANK(D22)), M$10&gt;=D22, M$10&lt;=E22), "█", "")</f>
        <v/>
      </c>
      <c r="N22" s="35">
        <f>IF(AND(NOT(ISBLANK(D22)), N$10&gt;=D22, N$10&lt;=E22), "█", "")</f>
        <v/>
      </c>
      <c r="O22" s="35">
        <f>IF(AND(NOT(ISBLANK(D22)), O$10&gt;=D22, O$10&lt;=E22), "█", "")</f>
        <v/>
      </c>
      <c r="P22" s="35">
        <f>IF(AND(NOT(ISBLANK(D22)), P$10&gt;=D22, P$10&lt;=E22), "█", "")</f>
        <v/>
      </c>
      <c r="Q22" s="35">
        <f>IF(AND(NOT(ISBLANK(D22)), Q$10&gt;=D22, Q$10&lt;=E22), "█", "")</f>
        <v/>
      </c>
      <c r="R22" s="35">
        <f>IF(AND(NOT(ISBLANK(D22)), R$10&gt;=D22, R$10&lt;=E22), "█", "")</f>
        <v/>
      </c>
      <c r="S22" s="35">
        <f>IF(AND(NOT(ISBLANK(D22)), S$10&gt;=D22, S$10&lt;=E22), "█", "")</f>
        <v/>
      </c>
      <c r="T22" s="35">
        <f>IF(AND(NOT(ISBLANK(D22)), T$10&gt;=D22, T$10&lt;=E22), "█", "")</f>
        <v/>
      </c>
      <c r="U22" s="35">
        <f>IF(AND(NOT(ISBLANK(D22)), U$10&gt;=D22, U$10&lt;=E22), "█", "")</f>
        <v/>
      </c>
      <c r="V22" s="35">
        <f>IF(AND(NOT(ISBLANK(D22)), V$10&gt;=D22, V$10&lt;=E22), "█", "")</f>
        <v/>
      </c>
      <c r="W22" s="35">
        <f>IF(AND(NOT(ISBLANK(D22)), W$10&gt;=D22, W$10&lt;=E22), "█", "")</f>
        <v/>
      </c>
      <c r="X22" s="35">
        <f>IF(AND(NOT(ISBLANK(D22)), X$10&gt;=D22, X$10&lt;=E22), "█", "")</f>
        <v/>
      </c>
      <c r="Y22" s="35">
        <f>IF(AND(NOT(ISBLANK(D22)), Y$10&gt;=D22, Y$10&lt;=E22), "█", "")</f>
        <v/>
      </c>
      <c r="Z22" s="35">
        <f>IF(AND(NOT(ISBLANK(D22)), Z$10&gt;=D22, Z$10&lt;=E22), "█", "")</f>
        <v/>
      </c>
      <c r="AA22" s="35">
        <f>IF(AND(NOT(ISBLANK(D22)), AA$10&gt;=D22, AA$10&lt;=E22), "█", "")</f>
        <v/>
      </c>
      <c r="AB22" s="35">
        <f>IF(AND(NOT(ISBLANK(D22)), AB$10&gt;=D22, AB$10&lt;=E22), "█", "")</f>
        <v/>
      </c>
      <c r="AC22" s="35">
        <f>IF(AND(NOT(ISBLANK(D22)), AC$10&gt;=D22, AC$10&lt;=E22), "█", "")</f>
        <v/>
      </c>
      <c r="AD22" s="35">
        <f>IF(AND(NOT(ISBLANK(D22)), AD$10&gt;=D22, AD$10&lt;=E22), "█", "")</f>
        <v/>
      </c>
      <c r="AE22" s="35">
        <f>IF(AND(NOT(ISBLANK(D22)), AE$10&gt;=D22, AE$10&lt;=E22), "█", "")</f>
        <v/>
      </c>
      <c r="AF22" s="35">
        <f>IF(AND(NOT(ISBLANK(D22)), AF$10&gt;=D22, AF$10&lt;=E22), "█", "")</f>
        <v/>
      </c>
      <c r="AG22" s="35">
        <f>IF(AND(NOT(ISBLANK(D22)), AG$10&gt;=D22, AG$10&lt;=E22), "█", "")</f>
        <v/>
      </c>
      <c r="AH22" s="35">
        <f>IF(AND(NOT(ISBLANK(D22)), AH$10&gt;=D22, AH$10&lt;=E22), "█", "")</f>
        <v/>
      </c>
      <c r="AI22" s="35">
        <f>IF(AND(NOT(ISBLANK(D22)), AI$10&gt;=D22, AI$10&lt;=E22), "█", "")</f>
        <v/>
      </c>
      <c r="AJ22" s="35">
        <f>IF(AND(NOT(ISBLANK(D22)), AJ$10&gt;=D22, AJ$10&lt;=E22), "█", "")</f>
        <v/>
      </c>
      <c r="AK22" s="35">
        <f>IF(AND(NOT(ISBLANK(D22)), AK$10&gt;=D22, AK$10&lt;=E22), "█", "")</f>
        <v/>
      </c>
      <c r="AL22" s="35">
        <f>IF(AND(NOT(ISBLANK(D22)), AL$10&gt;=D22, AL$10&lt;=E22), "█", "")</f>
        <v/>
      </c>
      <c r="AM22" s="35">
        <f>IF(AND(NOT(ISBLANK(D22)), AM$10&gt;=D22, AM$10&lt;=E22), "█", "")</f>
        <v/>
      </c>
    </row>
    <row r="23">
      <c r="A23" s="36" t="n">
        <v>12</v>
      </c>
      <c r="B23" s="37" t="inlineStr"/>
      <c r="C23" s="22" t="inlineStr"/>
      <c r="D23" s="38" t="inlineStr"/>
      <c r="E23" s="38" t="inlineStr"/>
      <c r="F23" s="22">
        <f>IF(OR(ISBLANK(D23), ISBLANK(E23)), "", E23-D23+1)</f>
        <v/>
      </c>
      <c r="G23" s="39" t="inlineStr"/>
      <c r="H23" s="36">
        <f>IF(ISBLANK(B23), "", IF(G23=0, "Not Started", IF(G23=1, "Completed", "In Progress")))</f>
        <v/>
      </c>
      <c r="I23" s="34" t="n"/>
      <c r="J23" s="35">
        <f>IF(AND(NOT(ISBLANK(D23)), J$10&gt;=D23, J$10&lt;=E23), "█", "")</f>
        <v/>
      </c>
      <c r="K23" s="35">
        <f>IF(AND(NOT(ISBLANK(D23)), K$10&gt;=D23, K$10&lt;=E23), "█", "")</f>
        <v/>
      </c>
      <c r="L23" s="35">
        <f>IF(AND(NOT(ISBLANK(D23)), L$10&gt;=D23, L$10&lt;=E23), "█", "")</f>
        <v/>
      </c>
      <c r="M23" s="35">
        <f>IF(AND(NOT(ISBLANK(D23)), M$10&gt;=D23, M$10&lt;=E23), "█", "")</f>
        <v/>
      </c>
      <c r="N23" s="35">
        <f>IF(AND(NOT(ISBLANK(D23)), N$10&gt;=D23, N$10&lt;=E23), "█", "")</f>
        <v/>
      </c>
      <c r="O23" s="35">
        <f>IF(AND(NOT(ISBLANK(D23)), O$10&gt;=D23, O$10&lt;=E23), "█", "")</f>
        <v/>
      </c>
      <c r="P23" s="35">
        <f>IF(AND(NOT(ISBLANK(D23)), P$10&gt;=D23, P$10&lt;=E23), "█", "")</f>
        <v/>
      </c>
      <c r="Q23" s="35">
        <f>IF(AND(NOT(ISBLANK(D23)), Q$10&gt;=D23, Q$10&lt;=E23), "█", "")</f>
        <v/>
      </c>
      <c r="R23" s="35">
        <f>IF(AND(NOT(ISBLANK(D23)), R$10&gt;=D23, R$10&lt;=E23), "█", "")</f>
        <v/>
      </c>
      <c r="S23" s="35">
        <f>IF(AND(NOT(ISBLANK(D23)), S$10&gt;=D23, S$10&lt;=E23), "█", "")</f>
        <v/>
      </c>
      <c r="T23" s="35">
        <f>IF(AND(NOT(ISBLANK(D23)), T$10&gt;=D23, T$10&lt;=E23), "█", "")</f>
        <v/>
      </c>
      <c r="U23" s="35">
        <f>IF(AND(NOT(ISBLANK(D23)), U$10&gt;=D23, U$10&lt;=E23), "█", "")</f>
        <v/>
      </c>
      <c r="V23" s="35">
        <f>IF(AND(NOT(ISBLANK(D23)), V$10&gt;=D23, V$10&lt;=E23), "█", "")</f>
        <v/>
      </c>
      <c r="W23" s="35">
        <f>IF(AND(NOT(ISBLANK(D23)), W$10&gt;=D23, W$10&lt;=E23), "█", "")</f>
        <v/>
      </c>
      <c r="X23" s="35">
        <f>IF(AND(NOT(ISBLANK(D23)), X$10&gt;=D23, X$10&lt;=E23), "█", "")</f>
        <v/>
      </c>
      <c r="Y23" s="35">
        <f>IF(AND(NOT(ISBLANK(D23)), Y$10&gt;=D23, Y$10&lt;=E23), "█", "")</f>
        <v/>
      </c>
      <c r="Z23" s="35">
        <f>IF(AND(NOT(ISBLANK(D23)), Z$10&gt;=D23, Z$10&lt;=E23), "█", "")</f>
        <v/>
      </c>
      <c r="AA23" s="35">
        <f>IF(AND(NOT(ISBLANK(D23)), AA$10&gt;=D23, AA$10&lt;=E23), "█", "")</f>
        <v/>
      </c>
      <c r="AB23" s="35">
        <f>IF(AND(NOT(ISBLANK(D23)), AB$10&gt;=D23, AB$10&lt;=E23), "█", "")</f>
        <v/>
      </c>
      <c r="AC23" s="35">
        <f>IF(AND(NOT(ISBLANK(D23)), AC$10&gt;=D23, AC$10&lt;=E23), "█", "")</f>
        <v/>
      </c>
      <c r="AD23" s="35">
        <f>IF(AND(NOT(ISBLANK(D23)), AD$10&gt;=D23, AD$10&lt;=E23), "█", "")</f>
        <v/>
      </c>
      <c r="AE23" s="35">
        <f>IF(AND(NOT(ISBLANK(D23)), AE$10&gt;=D23, AE$10&lt;=E23), "█", "")</f>
        <v/>
      </c>
      <c r="AF23" s="35">
        <f>IF(AND(NOT(ISBLANK(D23)), AF$10&gt;=D23, AF$10&lt;=E23), "█", "")</f>
        <v/>
      </c>
      <c r="AG23" s="35">
        <f>IF(AND(NOT(ISBLANK(D23)), AG$10&gt;=D23, AG$10&lt;=E23), "█", "")</f>
        <v/>
      </c>
      <c r="AH23" s="35">
        <f>IF(AND(NOT(ISBLANK(D23)), AH$10&gt;=D23, AH$10&lt;=E23), "█", "")</f>
        <v/>
      </c>
      <c r="AI23" s="35">
        <f>IF(AND(NOT(ISBLANK(D23)), AI$10&gt;=D23, AI$10&lt;=E23), "█", "")</f>
        <v/>
      </c>
      <c r="AJ23" s="35">
        <f>IF(AND(NOT(ISBLANK(D23)), AJ$10&gt;=D23, AJ$10&lt;=E23), "█", "")</f>
        <v/>
      </c>
      <c r="AK23" s="35">
        <f>IF(AND(NOT(ISBLANK(D23)), AK$10&gt;=D23, AK$10&lt;=E23), "█", "")</f>
        <v/>
      </c>
      <c r="AL23" s="35">
        <f>IF(AND(NOT(ISBLANK(D23)), AL$10&gt;=D23, AL$10&lt;=E23), "█", "")</f>
        <v/>
      </c>
      <c r="AM23" s="35">
        <f>IF(AND(NOT(ISBLANK(D23)), AM$10&gt;=D23, AM$10&lt;=E23), "█", "")</f>
        <v/>
      </c>
    </row>
    <row r="24">
      <c r="A24" s="7" t="n">
        <v>13</v>
      </c>
      <c r="B24" s="8" t="inlineStr"/>
      <c r="C24" s="19" t="inlineStr"/>
      <c r="D24" s="32" t="inlineStr"/>
      <c r="E24" s="32" t="inlineStr"/>
      <c r="F24" s="19">
        <f>IF(OR(ISBLANK(D24), ISBLANK(E24)), "", E24-D24+1)</f>
        <v/>
      </c>
      <c r="G24" s="33" t="inlineStr"/>
      <c r="H24" s="7">
        <f>IF(ISBLANK(B24), "", IF(G24=0, "Not Started", IF(G24=1, "Completed", "In Progress")))</f>
        <v/>
      </c>
      <c r="I24" s="34" t="n"/>
      <c r="J24" s="35">
        <f>IF(AND(NOT(ISBLANK(D24)), J$10&gt;=D24, J$10&lt;=E24), "█", "")</f>
        <v/>
      </c>
      <c r="K24" s="35">
        <f>IF(AND(NOT(ISBLANK(D24)), K$10&gt;=D24, K$10&lt;=E24), "█", "")</f>
        <v/>
      </c>
      <c r="L24" s="35">
        <f>IF(AND(NOT(ISBLANK(D24)), L$10&gt;=D24, L$10&lt;=E24), "█", "")</f>
        <v/>
      </c>
      <c r="M24" s="35">
        <f>IF(AND(NOT(ISBLANK(D24)), M$10&gt;=D24, M$10&lt;=E24), "█", "")</f>
        <v/>
      </c>
      <c r="N24" s="35">
        <f>IF(AND(NOT(ISBLANK(D24)), N$10&gt;=D24, N$10&lt;=E24), "█", "")</f>
        <v/>
      </c>
      <c r="O24" s="35">
        <f>IF(AND(NOT(ISBLANK(D24)), O$10&gt;=D24, O$10&lt;=E24), "█", "")</f>
        <v/>
      </c>
      <c r="P24" s="35">
        <f>IF(AND(NOT(ISBLANK(D24)), P$10&gt;=D24, P$10&lt;=E24), "█", "")</f>
        <v/>
      </c>
      <c r="Q24" s="35">
        <f>IF(AND(NOT(ISBLANK(D24)), Q$10&gt;=D24, Q$10&lt;=E24), "█", "")</f>
        <v/>
      </c>
      <c r="R24" s="35">
        <f>IF(AND(NOT(ISBLANK(D24)), R$10&gt;=D24, R$10&lt;=E24), "█", "")</f>
        <v/>
      </c>
      <c r="S24" s="35">
        <f>IF(AND(NOT(ISBLANK(D24)), S$10&gt;=D24, S$10&lt;=E24), "█", "")</f>
        <v/>
      </c>
      <c r="T24" s="35">
        <f>IF(AND(NOT(ISBLANK(D24)), T$10&gt;=D24, T$10&lt;=E24), "█", "")</f>
        <v/>
      </c>
      <c r="U24" s="35">
        <f>IF(AND(NOT(ISBLANK(D24)), U$10&gt;=D24, U$10&lt;=E24), "█", "")</f>
        <v/>
      </c>
      <c r="V24" s="35">
        <f>IF(AND(NOT(ISBLANK(D24)), V$10&gt;=D24, V$10&lt;=E24), "█", "")</f>
        <v/>
      </c>
      <c r="W24" s="35">
        <f>IF(AND(NOT(ISBLANK(D24)), W$10&gt;=D24, W$10&lt;=E24), "█", "")</f>
        <v/>
      </c>
      <c r="X24" s="35">
        <f>IF(AND(NOT(ISBLANK(D24)), X$10&gt;=D24, X$10&lt;=E24), "█", "")</f>
        <v/>
      </c>
      <c r="Y24" s="35">
        <f>IF(AND(NOT(ISBLANK(D24)), Y$10&gt;=D24, Y$10&lt;=E24), "█", "")</f>
        <v/>
      </c>
      <c r="Z24" s="35">
        <f>IF(AND(NOT(ISBLANK(D24)), Z$10&gt;=D24, Z$10&lt;=E24), "█", "")</f>
        <v/>
      </c>
      <c r="AA24" s="35">
        <f>IF(AND(NOT(ISBLANK(D24)), AA$10&gt;=D24, AA$10&lt;=E24), "█", "")</f>
        <v/>
      </c>
      <c r="AB24" s="35">
        <f>IF(AND(NOT(ISBLANK(D24)), AB$10&gt;=D24, AB$10&lt;=E24), "█", "")</f>
        <v/>
      </c>
      <c r="AC24" s="35">
        <f>IF(AND(NOT(ISBLANK(D24)), AC$10&gt;=D24, AC$10&lt;=E24), "█", "")</f>
        <v/>
      </c>
      <c r="AD24" s="35">
        <f>IF(AND(NOT(ISBLANK(D24)), AD$10&gt;=D24, AD$10&lt;=E24), "█", "")</f>
        <v/>
      </c>
      <c r="AE24" s="35">
        <f>IF(AND(NOT(ISBLANK(D24)), AE$10&gt;=D24, AE$10&lt;=E24), "█", "")</f>
        <v/>
      </c>
      <c r="AF24" s="35">
        <f>IF(AND(NOT(ISBLANK(D24)), AF$10&gt;=D24, AF$10&lt;=E24), "█", "")</f>
        <v/>
      </c>
      <c r="AG24" s="35">
        <f>IF(AND(NOT(ISBLANK(D24)), AG$10&gt;=D24, AG$10&lt;=E24), "█", "")</f>
        <v/>
      </c>
      <c r="AH24" s="35">
        <f>IF(AND(NOT(ISBLANK(D24)), AH$10&gt;=D24, AH$10&lt;=E24), "█", "")</f>
        <v/>
      </c>
      <c r="AI24" s="35">
        <f>IF(AND(NOT(ISBLANK(D24)), AI$10&gt;=D24, AI$10&lt;=E24), "█", "")</f>
        <v/>
      </c>
      <c r="AJ24" s="35">
        <f>IF(AND(NOT(ISBLANK(D24)), AJ$10&gt;=D24, AJ$10&lt;=E24), "█", "")</f>
        <v/>
      </c>
      <c r="AK24" s="35">
        <f>IF(AND(NOT(ISBLANK(D24)), AK$10&gt;=D24, AK$10&lt;=E24), "█", "")</f>
        <v/>
      </c>
      <c r="AL24" s="35">
        <f>IF(AND(NOT(ISBLANK(D24)), AL$10&gt;=D24, AL$10&lt;=E24), "█", "")</f>
        <v/>
      </c>
      <c r="AM24" s="35">
        <f>IF(AND(NOT(ISBLANK(D24)), AM$10&gt;=D24, AM$10&lt;=E24), "█", "")</f>
        <v/>
      </c>
    </row>
    <row r="25">
      <c r="A25" s="36" t="n">
        <v>14</v>
      </c>
      <c r="B25" s="37" t="inlineStr"/>
      <c r="C25" s="22" t="inlineStr"/>
      <c r="D25" s="38" t="inlineStr"/>
      <c r="E25" s="38" t="inlineStr"/>
      <c r="F25" s="22">
        <f>IF(OR(ISBLANK(D25), ISBLANK(E25)), "", E25-D25+1)</f>
        <v/>
      </c>
      <c r="G25" s="39" t="inlineStr"/>
      <c r="H25" s="36">
        <f>IF(ISBLANK(B25), "", IF(G25=0, "Not Started", IF(G25=1, "Completed", "In Progress")))</f>
        <v/>
      </c>
      <c r="I25" s="34" t="n"/>
      <c r="J25" s="35">
        <f>IF(AND(NOT(ISBLANK(D25)), J$10&gt;=D25, J$10&lt;=E25), "█", "")</f>
        <v/>
      </c>
      <c r="K25" s="35">
        <f>IF(AND(NOT(ISBLANK(D25)), K$10&gt;=D25, K$10&lt;=E25), "█", "")</f>
        <v/>
      </c>
      <c r="L25" s="35">
        <f>IF(AND(NOT(ISBLANK(D25)), L$10&gt;=D25, L$10&lt;=E25), "█", "")</f>
        <v/>
      </c>
      <c r="M25" s="35">
        <f>IF(AND(NOT(ISBLANK(D25)), M$10&gt;=D25, M$10&lt;=E25), "█", "")</f>
        <v/>
      </c>
      <c r="N25" s="35">
        <f>IF(AND(NOT(ISBLANK(D25)), N$10&gt;=D25, N$10&lt;=E25), "█", "")</f>
        <v/>
      </c>
      <c r="O25" s="35">
        <f>IF(AND(NOT(ISBLANK(D25)), O$10&gt;=D25, O$10&lt;=E25), "█", "")</f>
        <v/>
      </c>
      <c r="P25" s="35">
        <f>IF(AND(NOT(ISBLANK(D25)), P$10&gt;=D25, P$10&lt;=E25), "█", "")</f>
        <v/>
      </c>
      <c r="Q25" s="35">
        <f>IF(AND(NOT(ISBLANK(D25)), Q$10&gt;=D25, Q$10&lt;=E25), "█", "")</f>
        <v/>
      </c>
      <c r="R25" s="35">
        <f>IF(AND(NOT(ISBLANK(D25)), R$10&gt;=D25, R$10&lt;=E25), "█", "")</f>
        <v/>
      </c>
      <c r="S25" s="35">
        <f>IF(AND(NOT(ISBLANK(D25)), S$10&gt;=D25, S$10&lt;=E25), "█", "")</f>
        <v/>
      </c>
      <c r="T25" s="35">
        <f>IF(AND(NOT(ISBLANK(D25)), T$10&gt;=D25, T$10&lt;=E25), "█", "")</f>
        <v/>
      </c>
      <c r="U25" s="35">
        <f>IF(AND(NOT(ISBLANK(D25)), U$10&gt;=D25, U$10&lt;=E25), "█", "")</f>
        <v/>
      </c>
      <c r="V25" s="35">
        <f>IF(AND(NOT(ISBLANK(D25)), V$10&gt;=D25, V$10&lt;=E25), "█", "")</f>
        <v/>
      </c>
      <c r="W25" s="35">
        <f>IF(AND(NOT(ISBLANK(D25)), W$10&gt;=D25, W$10&lt;=E25), "█", "")</f>
        <v/>
      </c>
      <c r="X25" s="35">
        <f>IF(AND(NOT(ISBLANK(D25)), X$10&gt;=D25, X$10&lt;=E25), "█", "")</f>
        <v/>
      </c>
      <c r="Y25" s="35">
        <f>IF(AND(NOT(ISBLANK(D25)), Y$10&gt;=D25, Y$10&lt;=E25), "█", "")</f>
        <v/>
      </c>
      <c r="Z25" s="35">
        <f>IF(AND(NOT(ISBLANK(D25)), Z$10&gt;=D25, Z$10&lt;=E25), "█", "")</f>
        <v/>
      </c>
      <c r="AA25" s="35">
        <f>IF(AND(NOT(ISBLANK(D25)), AA$10&gt;=D25, AA$10&lt;=E25), "█", "")</f>
        <v/>
      </c>
      <c r="AB25" s="35">
        <f>IF(AND(NOT(ISBLANK(D25)), AB$10&gt;=D25, AB$10&lt;=E25), "█", "")</f>
        <v/>
      </c>
      <c r="AC25" s="35">
        <f>IF(AND(NOT(ISBLANK(D25)), AC$10&gt;=D25, AC$10&lt;=E25), "█", "")</f>
        <v/>
      </c>
      <c r="AD25" s="35">
        <f>IF(AND(NOT(ISBLANK(D25)), AD$10&gt;=D25, AD$10&lt;=E25), "█", "")</f>
        <v/>
      </c>
      <c r="AE25" s="35">
        <f>IF(AND(NOT(ISBLANK(D25)), AE$10&gt;=D25, AE$10&lt;=E25), "█", "")</f>
        <v/>
      </c>
      <c r="AF25" s="35">
        <f>IF(AND(NOT(ISBLANK(D25)), AF$10&gt;=D25, AF$10&lt;=E25), "█", "")</f>
        <v/>
      </c>
      <c r="AG25" s="35">
        <f>IF(AND(NOT(ISBLANK(D25)), AG$10&gt;=D25, AG$10&lt;=E25), "█", "")</f>
        <v/>
      </c>
      <c r="AH25" s="35">
        <f>IF(AND(NOT(ISBLANK(D25)), AH$10&gt;=D25, AH$10&lt;=E25), "█", "")</f>
        <v/>
      </c>
      <c r="AI25" s="35">
        <f>IF(AND(NOT(ISBLANK(D25)), AI$10&gt;=D25, AI$10&lt;=E25), "█", "")</f>
        <v/>
      </c>
      <c r="AJ25" s="35">
        <f>IF(AND(NOT(ISBLANK(D25)), AJ$10&gt;=D25, AJ$10&lt;=E25), "█", "")</f>
        <v/>
      </c>
      <c r="AK25" s="35">
        <f>IF(AND(NOT(ISBLANK(D25)), AK$10&gt;=D25, AK$10&lt;=E25), "█", "")</f>
        <v/>
      </c>
      <c r="AL25" s="35">
        <f>IF(AND(NOT(ISBLANK(D25)), AL$10&gt;=D25, AL$10&lt;=E25), "█", "")</f>
        <v/>
      </c>
      <c r="AM25" s="35">
        <f>IF(AND(NOT(ISBLANK(D25)), AM$10&gt;=D25, AM$10&lt;=E25), "█", "")</f>
        <v/>
      </c>
    </row>
    <row r="26">
      <c r="A26" s="7" t="n">
        <v>15</v>
      </c>
      <c r="B26" s="8" t="inlineStr"/>
      <c r="C26" s="19" t="inlineStr"/>
      <c r="D26" s="32" t="inlineStr"/>
      <c r="E26" s="32" t="inlineStr"/>
      <c r="F26" s="19">
        <f>IF(OR(ISBLANK(D26), ISBLANK(E26)), "", E26-D26+1)</f>
        <v/>
      </c>
      <c r="G26" s="33" t="inlineStr"/>
      <c r="H26" s="7">
        <f>IF(ISBLANK(B26), "", IF(G26=0, "Not Started", IF(G26=1, "Completed", "In Progress")))</f>
        <v/>
      </c>
      <c r="I26" s="34" t="n"/>
      <c r="J26" s="35">
        <f>IF(AND(NOT(ISBLANK(D26)), J$10&gt;=D26, J$10&lt;=E26), "█", "")</f>
        <v/>
      </c>
      <c r="K26" s="35">
        <f>IF(AND(NOT(ISBLANK(D26)), K$10&gt;=D26, K$10&lt;=E26), "█", "")</f>
        <v/>
      </c>
      <c r="L26" s="35">
        <f>IF(AND(NOT(ISBLANK(D26)), L$10&gt;=D26, L$10&lt;=E26), "█", "")</f>
        <v/>
      </c>
      <c r="M26" s="35">
        <f>IF(AND(NOT(ISBLANK(D26)), M$10&gt;=D26, M$10&lt;=E26), "█", "")</f>
        <v/>
      </c>
      <c r="N26" s="35">
        <f>IF(AND(NOT(ISBLANK(D26)), N$10&gt;=D26, N$10&lt;=E26), "█", "")</f>
        <v/>
      </c>
      <c r="O26" s="35">
        <f>IF(AND(NOT(ISBLANK(D26)), O$10&gt;=D26, O$10&lt;=E26), "█", "")</f>
        <v/>
      </c>
      <c r="P26" s="35">
        <f>IF(AND(NOT(ISBLANK(D26)), P$10&gt;=D26, P$10&lt;=E26), "█", "")</f>
        <v/>
      </c>
      <c r="Q26" s="35">
        <f>IF(AND(NOT(ISBLANK(D26)), Q$10&gt;=D26, Q$10&lt;=E26), "█", "")</f>
        <v/>
      </c>
      <c r="R26" s="35">
        <f>IF(AND(NOT(ISBLANK(D26)), R$10&gt;=D26, R$10&lt;=E26), "█", "")</f>
        <v/>
      </c>
      <c r="S26" s="35">
        <f>IF(AND(NOT(ISBLANK(D26)), S$10&gt;=D26, S$10&lt;=E26), "█", "")</f>
        <v/>
      </c>
      <c r="T26" s="35">
        <f>IF(AND(NOT(ISBLANK(D26)), T$10&gt;=D26, T$10&lt;=E26), "█", "")</f>
        <v/>
      </c>
      <c r="U26" s="35">
        <f>IF(AND(NOT(ISBLANK(D26)), U$10&gt;=D26, U$10&lt;=E26), "█", "")</f>
        <v/>
      </c>
      <c r="V26" s="35">
        <f>IF(AND(NOT(ISBLANK(D26)), V$10&gt;=D26, V$10&lt;=E26), "█", "")</f>
        <v/>
      </c>
      <c r="W26" s="35">
        <f>IF(AND(NOT(ISBLANK(D26)), W$10&gt;=D26, W$10&lt;=E26), "█", "")</f>
        <v/>
      </c>
      <c r="X26" s="35">
        <f>IF(AND(NOT(ISBLANK(D26)), X$10&gt;=D26, X$10&lt;=E26), "█", "")</f>
        <v/>
      </c>
      <c r="Y26" s="35">
        <f>IF(AND(NOT(ISBLANK(D26)), Y$10&gt;=D26, Y$10&lt;=E26), "█", "")</f>
        <v/>
      </c>
      <c r="Z26" s="35">
        <f>IF(AND(NOT(ISBLANK(D26)), Z$10&gt;=D26, Z$10&lt;=E26), "█", "")</f>
        <v/>
      </c>
      <c r="AA26" s="35">
        <f>IF(AND(NOT(ISBLANK(D26)), AA$10&gt;=D26, AA$10&lt;=E26), "█", "")</f>
        <v/>
      </c>
      <c r="AB26" s="35">
        <f>IF(AND(NOT(ISBLANK(D26)), AB$10&gt;=D26, AB$10&lt;=E26), "█", "")</f>
        <v/>
      </c>
      <c r="AC26" s="35">
        <f>IF(AND(NOT(ISBLANK(D26)), AC$10&gt;=D26, AC$10&lt;=E26), "█", "")</f>
        <v/>
      </c>
      <c r="AD26" s="35">
        <f>IF(AND(NOT(ISBLANK(D26)), AD$10&gt;=D26, AD$10&lt;=E26), "█", "")</f>
        <v/>
      </c>
      <c r="AE26" s="35">
        <f>IF(AND(NOT(ISBLANK(D26)), AE$10&gt;=D26, AE$10&lt;=E26), "█", "")</f>
        <v/>
      </c>
      <c r="AF26" s="35">
        <f>IF(AND(NOT(ISBLANK(D26)), AF$10&gt;=D26, AF$10&lt;=E26), "█", "")</f>
        <v/>
      </c>
      <c r="AG26" s="35">
        <f>IF(AND(NOT(ISBLANK(D26)), AG$10&gt;=D26, AG$10&lt;=E26), "█", "")</f>
        <v/>
      </c>
      <c r="AH26" s="35">
        <f>IF(AND(NOT(ISBLANK(D26)), AH$10&gt;=D26, AH$10&lt;=E26), "█", "")</f>
        <v/>
      </c>
      <c r="AI26" s="35">
        <f>IF(AND(NOT(ISBLANK(D26)), AI$10&gt;=D26, AI$10&lt;=E26), "█", "")</f>
        <v/>
      </c>
      <c r="AJ26" s="35">
        <f>IF(AND(NOT(ISBLANK(D26)), AJ$10&gt;=D26, AJ$10&lt;=E26), "█", "")</f>
        <v/>
      </c>
      <c r="AK26" s="35">
        <f>IF(AND(NOT(ISBLANK(D26)), AK$10&gt;=D26, AK$10&lt;=E26), "█", "")</f>
        <v/>
      </c>
      <c r="AL26" s="35">
        <f>IF(AND(NOT(ISBLANK(D26)), AL$10&gt;=D26, AL$10&lt;=E26), "█", "")</f>
        <v/>
      </c>
      <c r="AM26" s="35">
        <f>IF(AND(NOT(ISBLANK(D26)), AM$10&gt;=D26, AM$10&lt;=E26), "█", "")</f>
        <v/>
      </c>
    </row>
    <row r="27">
      <c r="A27" s="36" t="inlineStr"/>
      <c r="B27" s="37" t="inlineStr"/>
      <c r="C27" s="22" t="inlineStr"/>
      <c r="D27" s="38" t="inlineStr"/>
      <c r="E27" s="38" t="inlineStr"/>
      <c r="F27" s="22">
        <f>IF(OR(ISBLANK(D27), ISBLANK(E27)), "", E27-D27+1)</f>
        <v/>
      </c>
      <c r="G27" s="39" t="inlineStr"/>
      <c r="H27" s="36">
        <f>IF(ISBLANK(B27), "", IF(G27=0, "Not Started", IF(G27=1, "Completed", "In Progress")))</f>
        <v/>
      </c>
      <c r="I27" s="34" t="n"/>
      <c r="J27" s="35">
        <f>IF(AND(NOT(ISBLANK(D27)), J$10&gt;=D27, J$10&lt;=E27), "█", "")</f>
        <v/>
      </c>
      <c r="K27" s="35">
        <f>IF(AND(NOT(ISBLANK(D27)), K$10&gt;=D27, K$10&lt;=E27), "█", "")</f>
        <v/>
      </c>
      <c r="L27" s="35">
        <f>IF(AND(NOT(ISBLANK(D27)), L$10&gt;=D27, L$10&lt;=E27), "█", "")</f>
        <v/>
      </c>
      <c r="M27" s="35">
        <f>IF(AND(NOT(ISBLANK(D27)), M$10&gt;=D27, M$10&lt;=E27), "█", "")</f>
        <v/>
      </c>
      <c r="N27" s="35">
        <f>IF(AND(NOT(ISBLANK(D27)), N$10&gt;=D27, N$10&lt;=E27), "█", "")</f>
        <v/>
      </c>
      <c r="O27" s="35">
        <f>IF(AND(NOT(ISBLANK(D27)), O$10&gt;=D27, O$10&lt;=E27), "█", "")</f>
        <v/>
      </c>
      <c r="P27" s="35">
        <f>IF(AND(NOT(ISBLANK(D27)), P$10&gt;=D27, P$10&lt;=E27), "█", "")</f>
        <v/>
      </c>
      <c r="Q27" s="35">
        <f>IF(AND(NOT(ISBLANK(D27)), Q$10&gt;=D27, Q$10&lt;=E27), "█", "")</f>
        <v/>
      </c>
      <c r="R27" s="35">
        <f>IF(AND(NOT(ISBLANK(D27)), R$10&gt;=D27, R$10&lt;=E27), "█", "")</f>
        <v/>
      </c>
      <c r="S27" s="35">
        <f>IF(AND(NOT(ISBLANK(D27)), S$10&gt;=D27, S$10&lt;=E27), "█", "")</f>
        <v/>
      </c>
      <c r="T27" s="35">
        <f>IF(AND(NOT(ISBLANK(D27)), T$10&gt;=D27, T$10&lt;=E27), "█", "")</f>
        <v/>
      </c>
      <c r="U27" s="35">
        <f>IF(AND(NOT(ISBLANK(D27)), U$10&gt;=D27, U$10&lt;=E27), "█", "")</f>
        <v/>
      </c>
      <c r="V27" s="35">
        <f>IF(AND(NOT(ISBLANK(D27)), V$10&gt;=D27, V$10&lt;=E27), "█", "")</f>
        <v/>
      </c>
      <c r="W27" s="35">
        <f>IF(AND(NOT(ISBLANK(D27)), W$10&gt;=D27, W$10&lt;=E27), "█", "")</f>
        <v/>
      </c>
      <c r="X27" s="35">
        <f>IF(AND(NOT(ISBLANK(D27)), X$10&gt;=D27, X$10&lt;=E27), "█", "")</f>
        <v/>
      </c>
      <c r="Y27" s="35">
        <f>IF(AND(NOT(ISBLANK(D27)), Y$10&gt;=D27, Y$10&lt;=E27), "█", "")</f>
        <v/>
      </c>
      <c r="Z27" s="35">
        <f>IF(AND(NOT(ISBLANK(D27)), Z$10&gt;=D27, Z$10&lt;=E27), "█", "")</f>
        <v/>
      </c>
      <c r="AA27" s="35">
        <f>IF(AND(NOT(ISBLANK(D27)), AA$10&gt;=D27, AA$10&lt;=E27), "█", "")</f>
        <v/>
      </c>
      <c r="AB27" s="35">
        <f>IF(AND(NOT(ISBLANK(D27)), AB$10&gt;=D27, AB$10&lt;=E27), "█", "")</f>
        <v/>
      </c>
      <c r="AC27" s="35">
        <f>IF(AND(NOT(ISBLANK(D27)), AC$10&gt;=D27, AC$10&lt;=E27), "█", "")</f>
        <v/>
      </c>
      <c r="AD27" s="35">
        <f>IF(AND(NOT(ISBLANK(D27)), AD$10&gt;=D27, AD$10&lt;=E27), "█", "")</f>
        <v/>
      </c>
      <c r="AE27" s="35">
        <f>IF(AND(NOT(ISBLANK(D27)), AE$10&gt;=D27, AE$10&lt;=E27), "█", "")</f>
        <v/>
      </c>
      <c r="AF27" s="35">
        <f>IF(AND(NOT(ISBLANK(D27)), AF$10&gt;=D27, AF$10&lt;=E27), "█", "")</f>
        <v/>
      </c>
      <c r="AG27" s="35">
        <f>IF(AND(NOT(ISBLANK(D27)), AG$10&gt;=D27, AG$10&lt;=E27), "█", "")</f>
        <v/>
      </c>
      <c r="AH27" s="35">
        <f>IF(AND(NOT(ISBLANK(D27)), AH$10&gt;=D27, AH$10&lt;=E27), "█", "")</f>
        <v/>
      </c>
      <c r="AI27" s="35">
        <f>IF(AND(NOT(ISBLANK(D27)), AI$10&gt;=D27, AI$10&lt;=E27), "█", "")</f>
        <v/>
      </c>
      <c r="AJ27" s="35">
        <f>IF(AND(NOT(ISBLANK(D27)), AJ$10&gt;=D27, AJ$10&lt;=E27), "█", "")</f>
        <v/>
      </c>
      <c r="AK27" s="35">
        <f>IF(AND(NOT(ISBLANK(D27)), AK$10&gt;=D27, AK$10&lt;=E27), "█", "")</f>
        <v/>
      </c>
      <c r="AL27" s="35">
        <f>IF(AND(NOT(ISBLANK(D27)), AL$10&gt;=D27, AL$10&lt;=E27), "█", "")</f>
        <v/>
      </c>
      <c r="AM27" s="35">
        <f>IF(AND(NOT(ISBLANK(D27)), AM$10&gt;=D27, AM$10&lt;=E27), "█", "")</f>
        <v/>
      </c>
    </row>
    <row r="28">
      <c r="A28" s="7" t="inlineStr"/>
      <c r="B28" s="8" t="inlineStr"/>
      <c r="C28" s="19" t="inlineStr"/>
      <c r="D28" s="32" t="inlineStr"/>
      <c r="E28" s="32" t="inlineStr"/>
      <c r="F28" s="19">
        <f>IF(OR(ISBLANK(D28), ISBLANK(E28)), "", E28-D28+1)</f>
        <v/>
      </c>
      <c r="G28" s="33" t="inlineStr"/>
      <c r="H28" s="7">
        <f>IF(ISBLANK(B28), "", IF(G28=0, "Not Started", IF(G28=1, "Completed", "In Progress")))</f>
        <v/>
      </c>
      <c r="I28" s="34" t="n"/>
      <c r="J28" s="35">
        <f>IF(AND(NOT(ISBLANK(D28)), J$10&gt;=D28, J$10&lt;=E28), "█", "")</f>
        <v/>
      </c>
      <c r="K28" s="35">
        <f>IF(AND(NOT(ISBLANK(D28)), K$10&gt;=D28, K$10&lt;=E28), "█", "")</f>
        <v/>
      </c>
      <c r="L28" s="35">
        <f>IF(AND(NOT(ISBLANK(D28)), L$10&gt;=D28, L$10&lt;=E28), "█", "")</f>
        <v/>
      </c>
      <c r="M28" s="35">
        <f>IF(AND(NOT(ISBLANK(D28)), M$10&gt;=D28, M$10&lt;=E28), "█", "")</f>
        <v/>
      </c>
      <c r="N28" s="35">
        <f>IF(AND(NOT(ISBLANK(D28)), N$10&gt;=D28, N$10&lt;=E28), "█", "")</f>
        <v/>
      </c>
      <c r="O28" s="35">
        <f>IF(AND(NOT(ISBLANK(D28)), O$10&gt;=D28, O$10&lt;=E28), "█", "")</f>
        <v/>
      </c>
      <c r="P28" s="35">
        <f>IF(AND(NOT(ISBLANK(D28)), P$10&gt;=D28, P$10&lt;=E28), "█", "")</f>
        <v/>
      </c>
      <c r="Q28" s="35">
        <f>IF(AND(NOT(ISBLANK(D28)), Q$10&gt;=D28, Q$10&lt;=E28), "█", "")</f>
        <v/>
      </c>
      <c r="R28" s="35">
        <f>IF(AND(NOT(ISBLANK(D28)), R$10&gt;=D28, R$10&lt;=E28), "█", "")</f>
        <v/>
      </c>
      <c r="S28" s="35">
        <f>IF(AND(NOT(ISBLANK(D28)), S$10&gt;=D28, S$10&lt;=E28), "█", "")</f>
        <v/>
      </c>
      <c r="T28" s="35">
        <f>IF(AND(NOT(ISBLANK(D28)), T$10&gt;=D28, T$10&lt;=E28), "█", "")</f>
        <v/>
      </c>
      <c r="U28" s="35">
        <f>IF(AND(NOT(ISBLANK(D28)), U$10&gt;=D28, U$10&lt;=E28), "█", "")</f>
        <v/>
      </c>
      <c r="V28" s="35">
        <f>IF(AND(NOT(ISBLANK(D28)), V$10&gt;=D28, V$10&lt;=E28), "█", "")</f>
        <v/>
      </c>
      <c r="W28" s="35">
        <f>IF(AND(NOT(ISBLANK(D28)), W$10&gt;=D28, W$10&lt;=E28), "█", "")</f>
        <v/>
      </c>
      <c r="X28" s="35">
        <f>IF(AND(NOT(ISBLANK(D28)), X$10&gt;=D28, X$10&lt;=E28), "█", "")</f>
        <v/>
      </c>
      <c r="Y28" s="35">
        <f>IF(AND(NOT(ISBLANK(D28)), Y$10&gt;=D28, Y$10&lt;=E28), "█", "")</f>
        <v/>
      </c>
      <c r="Z28" s="35">
        <f>IF(AND(NOT(ISBLANK(D28)), Z$10&gt;=D28, Z$10&lt;=E28), "█", "")</f>
        <v/>
      </c>
      <c r="AA28" s="35">
        <f>IF(AND(NOT(ISBLANK(D28)), AA$10&gt;=D28, AA$10&lt;=E28), "█", "")</f>
        <v/>
      </c>
      <c r="AB28" s="35">
        <f>IF(AND(NOT(ISBLANK(D28)), AB$10&gt;=D28, AB$10&lt;=E28), "█", "")</f>
        <v/>
      </c>
      <c r="AC28" s="35">
        <f>IF(AND(NOT(ISBLANK(D28)), AC$10&gt;=D28, AC$10&lt;=E28), "█", "")</f>
        <v/>
      </c>
      <c r="AD28" s="35">
        <f>IF(AND(NOT(ISBLANK(D28)), AD$10&gt;=D28, AD$10&lt;=E28), "█", "")</f>
        <v/>
      </c>
      <c r="AE28" s="35">
        <f>IF(AND(NOT(ISBLANK(D28)), AE$10&gt;=D28, AE$10&lt;=E28), "█", "")</f>
        <v/>
      </c>
      <c r="AF28" s="35">
        <f>IF(AND(NOT(ISBLANK(D28)), AF$10&gt;=D28, AF$10&lt;=E28), "█", "")</f>
        <v/>
      </c>
      <c r="AG28" s="35">
        <f>IF(AND(NOT(ISBLANK(D28)), AG$10&gt;=D28, AG$10&lt;=E28), "█", "")</f>
        <v/>
      </c>
      <c r="AH28" s="35">
        <f>IF(AND(NOT(ISBLANK(D28)), AH$10&gt;=D28, AH$10&lt;=E28), "█", "")</f>
        <v/>
      </c>
      <c r="AI28" s="35">
        <f>IF(AND(NOT(ISBLANK(D28)), AI$10&gt;=D28, AI$10&lt;=E28), "█", "")</f>
        <v/>
      </c>
      <c r="AJ28" s="35">
        <f>IF(AND(NOT(ISBLANK(D28)), AJ$10&gt;=D28, AJ$10&lt;=E28), "█", "")</f>
        <v/>
      </c>
      <c r="AK28" s="35">
        <f>IF(AND(NOT(ISBLANK(D28)), AK$10&gt;=D28, AK$10&lt;=E28), "█", "")</f>
        <v/>
      </c>
      <c r="AL28" s="35">
        <f>IF(AND(NOT(ISBLANK(D28)), AL$10&gt;=D28, AL$10&lt;=E28), "█", "")</f>
        <v/>
      </c>
      <c r="AM28" s="35">
        <f>IF(AND(NOT(ISBLANK(D28)), AM$10&gt;=D28, AM$10&lt;=E28), "█", "")</f>
        <v/>
      </c>
    </row>
    <row r="29">
      <c r="A29" s="36" t="inlineStr"/>
      <c r="B29" s="37" t="inlineStr"/>
      <c r="C29" s="22" t="inlineStr"/>
      <c r="D29" s="38" t="inlineStr"/>
      <c r="E29" s="38" t="inlineStr"/>
      <c r="F29" s="22">
        <f>IF(OR(ISBLANK(D29), ISBLANK(E29)), "", E29-D29+1)</f>
        <v/>
      </c>
      <c r="G29" s="39" t="inlineStr"/>
      <c r="H29" s="36">
        <f>IF(ISBLANK(B29), "", IF(G29=0, "Not Started", IF(G29=1, "Completed", "In Progress")))</f>
        <v/>
      </c>
      <c r="I29" s="34" t="n"/>
      <c r="J29" s="35">
        <f>IF(AND(NOT(ISBLANK(D29)), J$10&gt;=D29, J$10&lt;=E29), "█", "")</f>
        <v/>
      </c>
      <c r="K29" s="35">
        <f>IF(AND(NOT(ISBLANK(D29)), K$10&gt;=D29, K$10&lt;=E29), "█", "")</f>
        <v/>
      </c>
      <c r="L29" s="35">
        <f>IF(AND(NOT(ISBLANK(D29)), L$10&gt;=D29, L$10&lt;=E29), "█", "")</f>
        <v/>
      </c>
      <c r="M29" s="35">
        <f>IF(AND(NOT(ISBLANK(D29)), M$10&gt;=D29, M$10&lt;=E29), "█", "")</f>
        <v/>
      </c>
      <c r="N29" s="35">
        <f>IF(AND(NOT(ISBLANK(D29)), N$10&gt;=D29, N$10&lt;=E29), "█", "")</f>
        <v/>
      </c>
      <c r="O29" s="35">
        <f>IF(AND(NOT(ISBLANK(D29)), O$10&gt;=D29, O$10&lt;=E29), "█", "")</f>
        <v/>
      </c>
      <c r="P29" s="35">
        <f>IF(AND(NOT(ISBLANK(D29)), P$10&gt;=D29, P$10&lt;=E29), "█", "")</f>
        <v/>
      </c>
      <c r="Q29" s="35">
        <f>IF(AND(NOT(ISBLANK(D29)), Q$10&gt;=D29, Q$10&lt;=E29), "█", "")</f>
        <v/>
      </c>
      <c r="R29" s="35">
        <f>IF(AND(NOT(ISBLANK(D29)), R$10&gt;=D29, R$10&lt;=E29), "█", "")</f>
        <v/>
      </c>
      <c r="S29" s="35">
        <f>IF(AND(NOT(ISBLANK(D29)), S$10&gt;=D29, S$10&lt;=E29), "█", "")</f>
        <v/>
      </c>
      <c r="T29" s="35">
        <f>IF(AND(NOT(ISBLANK(D29)), T$10&gt;=D29, T$10&lt;=E29), "█", "")</f>
        <v/>
      </c>
      <c r="U29" s="35">
        <f>IF(AND(NOT(ISBLANK(D29)), U$10&gt;=D29, U$10&lt;=E29), "█", "")</f>
        <v/>
      </c>
      <c r="V29" s="35">
        <f>IF(AND(NOT(ISBLANK(D29)), V$10&gt;=D29, V$10&lt;=E29), "█", "")</f>
        <v/>
      </c>
      <c r="W29" s="35">
        <f>IF(AND(NOT(ISBLANK(D29)), W$10&gt;=D29, W$10&lt;=E29), "█", "")</f>
        <v/>
      </c>
      <c r="X29" s="35">
        <f>IF(AND(NOT(ISBLANK(D29)), X$10&gt;=D29, X$10&lt;=E29), "█", "")</f>
        <v/>
      </c>
      <c r="Y29" s="35">
        <f>IF(AND(NOT(ISBLANK(D29)), Y$10&gt;=D29, Y$10&lt;=E29), "█", "")</f>
        <v/>
      </c>
      <c r="Z29" s="35">
        <f>IF(AND(NOT(ISBLANK(D29)), Z$10&gt;=D29, Z$10&lt;=E29), "█", "")</f>
        <v/>
      </c>
      <c r="AA29" s="35">
        <f>IF(AND(NOT(ISBLANK(D29)), AA$10&gt;=D29, AA$10&lt;=E29), "█", "")</f>
        <v/>
      </c>
      <c r="AB29" s="35">
        <f>IF(AND(NOT(ISBLANK(D29)), AB$10&gt;=D29, AB$10&lt;=E29), "█", "")</f>
        <v/>
      </c>
      <c r="AC29" s="35">
        <f>IF(AND(NOT(ISBLANK(D29)), AC$10&gt;=D29, AC$10&lt;=E29), "█", "")</f>
        <v/>
      </c>
      <c r="AD29" s="35">
        <f>IF(AND(NOT(ISBLANK(D29)), AD$10&gt;=D29, AD$10&lt;=E29), "█", "")</f>
        <v/>
      </c>
      <c r="AE29" s="35">
        <f>IF(AND(NOT(ISBLANK(D29)), AE$10&gt;=D29, AE$10&lt;=E29), "█", "")</f>
        <v/>
      </c>
      <c r="AF29" s="35">
        <f>IF(AND(NOT(ISBLANK(D29)), AF$10&gt;=D29, AF$10&lt;=E29), "█", "")</f>
        <v/>
      </c>
      <c r="AG29" s="35">
        <f>IF(AND(NOT(ISBLANK(D29)), AG$10&gt;=D29, AG$10&lt;=E29), "█", "")</f>
        <v/>
      </c>
      <c r="AH29" s="35">
        <f>IF(AND(NOT(ISBLANK(D29)), AH$10&gt;=D29, AH$10&lt;=E29), "█", "")</f>
        <v/>
      </c>
      <c r="AI29" s="35">
        <f>IF(AND(NOT(ISBLANK(D29)), AI$10&gt;=D29, AI$10&lt;=E29), "█", "")</f>
        <v/>
      </c>
      <c r="AJ29" s="35">
        <f>IF(AND(NOT(ISBLANK(D29)), AJ$10&gt;=D29, AJ$10&lt;=E29), "█", "")</f>
        <v/>
      </c>
      <c r="AK29" s="35">
        <f>IF(AND(NOT(ISBLANK(D29)), AK$10&gt;=D29, AK$10&lt;=E29), "█", "")</f>
        <v/>
      </c>
      <c r="AL29" s="35">
        <f>IF(AND(NOT(ISBLANK(D29)), AL$10&gt;=D29, AL$10&lt;=E29), "█", "")</f>
        <v/>
      </c>
      <c r="AM29" s="35">
        <f>IF(AND(NOT(ISBLANK(D29)), AM$10&gt;=D29, AM$10&lt;=E29), "█", "")</f>
        <v/>
      </c>
    </row>
    <row r="30">
      <c r="A30" s="7" t="inlineStr"/>
      <c r="B30" s="8" t="inlineStr"/>
      <c r="C30" s="19" t="inlineStr"/>
      <c r="D30" s="32" t="inlineStr"/>
      <c r="E30" s="32" t="inlineStr"/>
      <c r="F30" s="19">
        <f>IF(OR(ISBLANK(D30), ISBLANK(E30)), "", E30-D30+1)</f>
        <v/>
      </c>
      <c r="G30" s="33" t="inlineStr"/>
      <c r="H30" s="7">
        <f>IF(ISBLANK(B30), "", IF(G30=0, "Not Started", IF(G30=1, "Completed", "In Progress")))</f>
        <v/>
      </c>
      <c r="I30" s="34" t="n"/>
      <c r="J30" s="35">
        <f>IF(AND(NOT(ISBLANK(D30)), J$10&gt;=D30, J$10&lt;=E30), "█", "")</f>
        <v/>
      </c>
      <c r="K30" s="35">
        <f>IF(AND(NOT(ISBLANK(D30)), K$10&gt;=D30, K$10&lt;=E30), "█", "")</f>
        <v/>
      </c>
      <c r="L30" s="35">
        <f>IF(AND(NOT(ISBLANK(D30)), L$10&gt;=D30, L$10&lt;=E30), "█", "")</f>
        <v/>
      </c>
      <c r="M30" s="35">
        <f>IF(AND(NOT(ISBLANK(D30)), M$10&gt;=D30, M$10&lt;=E30), "█", "")</f>
        <v/>
      </c>
      <c r="N30" s="35">
        <f>IF(AND(NOT(ISBLANK(D30)), N$10&gt;=D30, N$10&lt;=E30), "█", "")</f>
        <v/>
      </c>
      <c r="O30" s="35">
        <f>IF(AND(NOT(ISBLANK(D30)), O$10&gt;=D30, O$10&lt;=E30), "█", "")</f>
        <v/>
      </c>
      <c r="P30" s="35">
        <f>IF(AND(NOT(ISBLANK(D30)), P$10&gt;=D30, P$10&lt;=E30), "█", "")</f>
        <v/>
      </c>
      <c r="Q30" s="35">
        <f>IF(AND(NOT(ISBLANK(D30)), Q$10&gt;=D30, Q$10&lt;=E30), "█", "")</f>
        <v/>
      </c>
      <c r="R30" s="35">
        <f>IF(AND(NOT(ISBLANK(D30)), R$10&gt;=D30, R$10&lt;=E30), "█", "")</f>
        <v/>
      </c>
      <c r="S30" s="35">
        <f>IF(AND(NOT(ISBLANK(D30)), S$10&gt;=D30, S$10&lt;=E30), "█", "")</f>
        <v/>
      </c>
      <c r="T30" s="35">
        <f>IF(AND(NOT(ISBLANK(D30)), T$10&gt;=D30, T$10&lt;=E30), "█", "")</f>
        <v/>
      </c>
      <c r="U30" s="35">
        <f>IF(AND(NOT(ISBLANK(D30)), U$10&gt;=D30, U$10&lt;=E30), "█", "")</f>
        <v/>
      </c>
      <c r="V30" s="35">
        <f>IF(AND(NOT(ISBLANK(D30)), V$10&gt;=D30, V$10&lt;=E30), "█", "")</f>
        <v/>
      </c>
      <c r="W30" s="35">
        <f>IF(AND(NOT(ISBLANK(D30)), W$10&gt;=D30, W$10&lt;=E30), "█", "")</f>
        <v/>
      </c>
      <c r="X30" s="35">
        <f>IF(AND(NOT(ISBLANK(D30)), X$10&gt;=D30, X$10&lt;=E30), "█", "")</f>
        <v/>
      </c>
      <c r="Y30" s="35">
        <f>IF(AND(NOT(ISBLANK(D30)), Y$10&gt;=D30, Y$10&lt;=E30), "█", "")</f>
        <v/>
      </c>
      <c r="Z30" s="35">
        <f>IF(AND(NOT(ISBLANK(D30)), Z$10&gt;=D30, Z$10&lt;=E30), "█", "")</f>
        <v/>
      </c>
      <c r="AA30" s="35">
        <f>IF(AND(NOT(ISBLANK(D30)), AA$10&gt;=D30, AA$10&lt;=E30), "█", "")</f>
        <v/>
      </c>
      <c r="AB30" s="35">
        <f>IF(AND(NOT(ISBLANK(D30)), AB$10&gt;=D30, AB$10&lt;=E30), "█", "")</f>
        <v/>
      </c>
      <c r="AC30" s="35">
        <f>IF(AND(NOT(ISBLANK(D30)), AC$10&gt;=D30, AC$10&lt;=E30), "█", "")</f>
        <v/>
      </c>
      <c r="AD30" s="35">
        <f>IF(AND(NOT(ISBLANK(D30)), AD$10&gt;=D30, AD$10&lt;=E30), "█", "")</f>
        <v/>
      </c>
      <c r="AE30" s="35">
        <f>IF(AND(NOT(ISBLANK(D30)), AE$10&gt;=D30, AE$10&lt;=E30), "█", "")</f>
        <v/>
      </c>
      <c r="AF30" s="35">
        <f>IF(AND(NOT(ISBLANK(D30)), AF$10&gt;=D30, AF$10&lt;=E30), "█", "")</f>
        <v/>
      </c>
      <c r="AG30" s="35">
        <f>IF(AND(NOT(ISBLANK(D30)), AG$10&gt;=D30, AG$10&lt;=E30), "█", "")</f>
        <v/>
      </c>
      <c r="AH30" s="35">
        <f>IF(AND(NOT(ISBLANK(D30)), AH$10&gt;=D30, AH$10&lt;=E30), "█", "")</f>
        <v/>
      </c>
      <c r="AI30" s="35">
        <f>IF(AND(NOT(ISBLANK(D30)), AI$10&gt;=D30, AI$10&lt;=E30), "█", "")</f>
        <v/>
      </c>
      <c r="AJ30" s="35">
        <f>IF(AND(NOT(ISBLANK(D30)), AJ$10&gt;=D30, AJ$10&lt;=E30), "█", "")</f>
        <v/>
      </c>
      <c r="AK30" s="35">
        <f>IF(AND(NOT(ISBLANK(D30)), AK$10&gt;=D30, AK$10&lt;=E30), "█", "")</f>
        <v/>
      </c>
      <c r="AL30" s="35">
        <f>IF(AND(NOT(ISBLANK(D30)), AL$10&gt;=D30, AL$10&lt;=E30), "█", "")</f>
        <v/>
      </c>
      <c r="AM30" s="35">
        <f>IF(AND(NOT(ISBLANK(D30)), AM$10&gt;=D30, AM$10&lt;=E30), "█", "")</f>
        <v/>
      </c>
    </row>
    <row r="31">
      <c r="A31" s="36" t="inlineStr"/>
      <c r="B31" s="37" t="inlineStr"/>
      <c r="C31" s="22" t="inlineStr"/>
      <c r="D31" s="38" t="inlineStr"/>
      <c r="E31" s="38" t="inlineStr"/>
      <c r="F31" s="22">
        <f>IF(OR(ISBLANK(D31), ISBLANK(E31)), "", E31-D31+1)</f>
        <v/>
      </c>
      <c r="G31" s="39" t="inlineStr"/>
      <c r="H31" s="36">
        <f>IF(ISBLANK(B31), "", IF(G31=0, "Not Started", IF(G31=1, "Completed", "In Progress")))</f>
        <v/>
      </c>
      <c r="I31" s="34" t="n"/>
      <c r="J31" s="35">
        <f>IF(AND(NOT(ISBLANK(D31)), J$10&gt;=D31, J$10&lt;=E31), "█", "")</f>
        <v/>
      </c>
      <c r="K31" s="35">
        <f>IF(AND(NOT(ISBLANK(D31)), K$10&gt;=D31, K$10&lt;=E31), "█", "")</f>
        <v/>
      </c>
      <c r="L31" s="35">
        <f>IF(AND(NOT(ISBLANK(D31)), L$10&gt;=D31, L$10&lt;=E31), "█", "")</f>
        <v/>
      </c>
      <c r="M31" s="35">
        <f>IF(AND(NOT(ISBLANK(D31)), M$10&gt;=D31, M$10&lt;=E31), "█", "")</f>
        <v/>
      </c>
      <c r="N31" s="35">
        <f>IF(AND(NOT(ISBLANK(D31)), N$10&gt;=D31, N$10&lt;=E31), "█", "")</f>
        <v/>
      </c>
      <c r="O31" s="35">
        <f>IF(AND(NOT(ISBLANK(D31)), O$10&gt;=D31, O$10&lt;=E31), "█", "")</f>
        <v/>
      </c>
      <c r="P31" s="35">
        <f>IF(AND(NOT(ISBLANK(D31)), P$10&gt;=D31, P$10&lt;=E31), "█", "")</f>
        <v/>
      </c>
      <c r="Q31" s="35">
        <f>IF(AND(NOT(ISBLANK(D31)), Q$10&gt;=D31, Q$10&lt;=E31), "█", "")</f>
        <v/>
      </c>
      <c r="R31" s="35">
        <f>IF(AND(NOT(ISBLANK(D31)), R$10&gt;=D31, R$10&lt;=E31), "█", "")</f>
        <v/>
      </c>
      <c r="S31" s="35">
        <f>IF(AND(NOT(ISBLANK(D31)), S$10&gt;=D31, S$10&lt;=E31), "█", "")</f>
        <v/>
      </c>
      <c r="T31" s="35">
        <f>IF(AND(NOT(ISBLANK(D31)), T$10&gt;=D31, T$10&lt;=E31), "█", "")</f>
        <v/>
      </c>
      <c r="U31" s="35">
        <f>IF(AND(NOT(ISBLANK(D31)), U$10&gt;=D31, U$10&lt;=E31), "█", "")</f>
        <v/>
      </c>
      <c r="V31" s="35">
        <f>IF(AND(NOT(ISBLANK(D31)), V$10&gt;=D31, V$10&lt;=E31), "█", "")</f>
        <v/>
      </c>
      <c r="W31" s="35">
        <f>IF(AND(NOT(ISBLANK(D31)), W$10&gt;=D31, W$10&lt;=E31), "█", "")</f>
        <v/>
      </c>
      <c r="X31" s="35">
        <f>IF(AND(NOT(ISBLANK(D31)), X$10&gt;=D31, X$10&lt;=E31), "█", "")</f>
        <v/>
      </c>
      <c r="Y31" s="35">
        <f>IF(AND(NOT(ISBLANK(D31)), Y$10&gt;=D31, Y$10&lt;=E31), "█", "")</f>
        <v/>
      </c>
      <c r="Z31" s="35">
        <f>IF(AND(NOT(ISBLANK(D31)), Z$10&gt;=D31, Z$10&lt;=E31), "█", "")</f>
        <v/>
      </c>
      <c r="AA31" s="35">
        <f>IF(AND(NOT(ISBLANK(D31)), AA$10&gt;=D31, AA$10&lt;=E31), "█", "")</f>
        <v/>
      </c>
      <c r="AB31" s="35">
        <f>IF(AND(NOT(ISBLANK(D31)), AB$10&gt;=D31, AB$10&lt;=E31), "█", "")</f>
        <v/>
      </c>
      <c r="AC31" s="35">
        <f>IF(AND(NOT(ISBLANK(D31)), AC$10&gt;=D31, AC$10&lt;=E31), "█", "")</f>
        <v/>
      </c>
      <c r="AD31" s="35">
        <f>IF(AND(NOT(ISBLANK(D31)), AD$10&gt;=D31, AD$10&lt;=E31), "█", "")</f>
        <v/>
      </c>
      <c r="AE31" s="35">
        <f>IF(AND(NOT(ISBLANK(D31)), AE$10&gt;=D31, AE$10&lt;=E31), "█", "")</f>
        <v/>
      </c>
      <c r="AF31" s="35">
        <f>IF(AND(NOT(ISBLANK(D31)), AF$10&gt;=D31, AF$10&lt;=E31), "█", "")</f>
        <v/>
      </c>
      <c r="AG31" s="35">
        <f>IF(AND(NOT(ISBLANK(D31)), AG$10&gt;=D31, AG$10&lt;=E31), "█", "")</f>
        <v/>
      </c>
      <c r="AH31" s="35">
        <f>IF(AND(NOT(ISBLANK(D31)), AH$10&gt;=D31, AH$10&lt;=E31), "█", "")</f>
        <v/>
      </c>
      <c r="AI31" s="35">
        <f>IF(AND(NOT(ISBLANK(D31)), AI$10&gt;=D31, AI$10&lt;=E31), "█", "")</f>
        <v/>
      </c>
      <c r="AJ31" s="35">
        <f>IF(AND(NOT(ISBLANK(D31)), AJ$10&gt;=D31, AJ$10&lt;=E31), "█", "")</f>
        <v/>
      </c>
      <c r="AK31" s="35">
        <f>IF(AND(NOT(ISBLANK(D31)), AK$10&gt;=D31, AK$10&lt;=E31), "█", "")</f>
        <v/>
      </c>
      <c r="AL31" s="35">
        <f>IF(AND(NOT(ISBLANK(D31)), AL$10&gt;=D31, AL$10&lt;=E31), "█", "")</f>
        <v/>
      </c>
      <c r="AM31" s="35">
        <f>IF(AND(NOT(ISBLANK(D31)), AM$10&gt;=D31, AM$10&lt;=E31), "█", "")</f>
        <v/>
      </c>
    </row>
    <row r="32">
      <c r="A32" s="7" t="inlineStr"/>
      <c r="B32" s="8" t="inlineStr"/>
      <c r="C32" s="19" t="inlineStr"/>
      <c r="D32" s="32" t="inlineStr"/>
      <c r="E32" s="32" t="inlineStr"/>
      <c r="F32" s="19">
        <f>IF(OR(ISBLANK(D32), ISBLANK(E32)), "", E32-D32+1)</f>
        <v/>
      </c>
      <c r="G32" s="33" t="inlineStr"/>
      <c r="H32" s="7">
        <f>IF(ISBLANK(B32), "", IF(G32=0, "Not Started", IF(G32=1, "Completed", "In Progress")))</f>
        <v/>
      </c>
      <c r="I32" s="34" t="n"/>
      <c r="J32" s="35">
        <f>IF(AND(NOT(ISBLANK(D32)), J$10&gt;=D32, J$10&lt;=E32), "█", "")</f>
        <v/>
      </c>
      <c r="K32" s="35">
        <f>IF(AND(NOT(ISBLANK(D32)), K$10&gt;=D32, K$10&lt;=E32), "█", "")</f>
        <v/>
      </c>
      <c r="L32" s="35">
        <f>IF(AND(NOT(ISBLANK(D32)), L$10&gt;=D32, L$10&lt;=E32), "█", "")</f>
        <v/>
      </c>
      <c r="M32" s="35">
        <f>IF(AND(NOT(ISBLANK(D32)), M$10&gt;=D32, M$10&lt;=E32), "█", "")</f>
        <v/>
      </c>
      <c r="N32" s="35">
        <f>IF(AND(NOT(ISBLANK(D32)), N$10&gt;=D32, N$10&lt;=E32), "█", "")</f>
        <v/>
      </c>
      <c r="O32" s="35">
        <f>IF(AND(NOT(ISBLANK(D32)), O$10&gt;=D32, O$10&lt;=E32), "█", "")</f>
        <v/>
      </c>
      <c r="P32" s="35">
        <f>IF(AND(NOT(ISBLANK(D32)), P$10&gt;=D32, P$10&lt;=E32), "█", "")</f>
        <v/>
      </c>
      <c r="Q32" s="35">
        <f>IF(AND(NOT(ISBLANK(D32)), Q$10&gt;=D32, Q$10&lt;=E32), "█", "")</f>
        <v/>
      </c>
      <c r="R32" s="35">
        <f>IF(AND(NOT(ISBLANK(D32)), R$10&gt;=D32, R$10&lt;=E32), "█", "")</f>
        <v/>
      </c>
      <c r="S32" s="35">
        <f>IF(AND(NOT(ISBLANK(D32)), S$10&gt;=D32, S$10&lt;=E32), "█", "")</f>
        <v/>
      </c>
      <c r="T32" s="35">
        <f>IF(AND(NOT(ISBLANK(D32)), T$10&gt;=D32, T$10&lt;=E32), "█", "")</f>
        <v/>
      </c>
      <c r="U32" s="35">
        <f>IF(AND(NOT(ISBLANK(D32)), U$10&gt;=D32, U$10&lt;=E32), "█", "")</f>
        <v/>
      </c>
      <c r="V32" s="35">
        <f>IF(AND(NOT(ISBLANK(D32)), V$10&gt;=D32, V$10&lt;=E32), "█", "")</f>
        <v/>
      </c>
      <c r="W32" s="35">
        <f>IF(AND(NOT(ISBLANK(D32)), W$10&gt;=D32, W$10&lt;=E32), "█", "")</f>
        <v/>
      </c>
      <c r="X32" s="35">
        <f>IF(AND(NOT(ISBLANK(D32)), X$10&gt;=D32, X$10&lt;=E32), "█", "")</f>
        <v/>
      </c>
      <c r="Y32" s="35">
        <f>IF(AND(NOT(ISBLANK(D32)), Y$10&gt;=D32, Y$10&lt;=E32), "█", "")</f>
        <v/>
      </c>
      <c r="Z32" s="35">
        <f>IF(AND(NOT(ISBLANK(D32)), Z$10&gt;=D32, Z$10&lt;=E32), "█", "")</f>
        <v/>
      </c>
      <c r="AA32" s="35">
        <f>IF(AND(NOT(ISBLANK(D32)), AA$10&gt;=D32, AA$10&lt;=E32), "█", "")</f>
        <v/>
      </c>
      <c r="AB32" s="35">
        <f>IF(AND(NOT(ISBLANK(D32)), AB$10&gt;=D32, AB$10&lt;=E32), "█", "")</f>
        <v/>
      </c>
      <c r="AC32" s="35">
        <f>IF(AND(NOT(ISBLANK(D32)), AC$10&gt;=D32, AC$10&lt;=E32), "█", "")</f>
        <v/>
      </c>
      <c r="AD32" s="35">
        <f>IF(AND(NOT(ISBLANK(D32)), AD$10&gt;=D32, AD$10&lt;=E32), "█", "")</f>
        <v/>
      </c>
      <c r="AE32" s="35">
        <f>IF(AND(NOT(ISBLANK(D32)), AE$10&gt;=D32, AE$10&lt;=E32), "█", "")</f>
        <v/>
      </c>
      <c r="AF32" s="35">
        <f>IF(AND(NOT(ISBLANK(D32)), AF$10&gt;=D32, AF$10&lt;=E32), "█", "")</f>
        <v/>
      </c>
      <c r="AG32" s="35">
        <f>IF(AND(NOT(ISBLANK(D32)), AG$10&gt;=D32, AG$10&lt;=E32), "█", "")</f>
        <v/>
      </c>
      <c r="AH32" s="35">
        <f>IF(AND(NOT(ISBLANK(D32)), AH$10&gt;=D32, AH$10&lt;=E32), "█", "")</f>
        <v/>
      </c>
      <c r="AI32" s="35">
        <f>IF(AND(NOT(ISBLANK(D32)), AI$10&gt;=D32, AI$10&lt;=E32), "█", "")</f>
        <v/>
      </c>
      <c r="AJ32" s="35">
        <f>IF(AND(NOT(ISBLANK(D32)), AJ$10&gt;=D32, AJ$10&lt;=E32), "█", "")</f>
        <v/>
      </c>
      <c r="AK32" s="35">
        <f>IF(AND(NOT(ISBLANK(D32)), AK$10&gt;=D32, AK$10&lt;=E32), "█", "")</f>
        <v/>
      </c>
      <c r="AL32" s="35">
        <f>IF(AND(NOT(ISBLANK(D32)), AL$10&gt;=D32, AL$10&lt;=E32), "█", "")</f>
        <v/>
      </c>
      <c r="AM32" s="35">
        <f>IF(AND(NOT(ISBLANK(D32)), AM$10&gt;=D32, AM$10&lt;=E32), "█", "")</f>
        <v/>
      </c>
    </row>
    <row r="33">
      <c r="A33" s="36" t="inlineStr"/>
      <c r="B33" s="37" t="inlineStr"/>
      <c r="C33" s="22" t="inlineStr"/>
      <c r="D33" s="38" t="inlineStr"/>
      <c r="E33" s="38" t="inlineStr"/>
      <c r="F33" s="22">
        <f>IF(OR(ISBLANK(D33), ISBLANK(E33)), "", E33-D33+1)</f>
        <v/>
      </c>
      <c r="G33" s="39" t="inlineStr"/>
      <c r="H33" s="36">
        <f>IF(ISBLANK(B33), "", IF(G33=0, "Not Started", IF(G33=1, "Completed", "In Progress")))</f>
        <v/>
      </c>
      <c r="I33" s="34" t="n"/>
      <c r="J33" s="35">
        <f>IF(AND(NOT(ISBLANK(D33)), J$10&gt;=D33, J$10&lt;=E33), "█", "")</f>
        <v/>
      </c>
      <c r="K33" s="35">
        <f>IF(AND(NOT(ISBLANK(D33)), K$10&gt;=D33, K$10&lt;=E33), "█", "")</f>
        <v/>
      </c>
      <c r="L33" s="35">
        <f>IF(AND(NOT(ISBLANK(D33)), L$10&gt;=D33, L$10&lt;=E33), "█", "")</f>
        <v/>
      </c>
      <c r="M33" s="35">
        <f>IF(AND(NOT(ISBLANK(D33)), M$10&gt;=D33, M$10&lt;=E33), "█", "")</f>
        <v/>
      </c>
      <c r="N33" s="35">
        <f>IF(AND(NOT(ISBLANK(D33)), N$10&gt;=D33, N$10&lt;=E33), "█", "")</f>
        <v/>
      </c>
      <c r="O33" s="35">
        <f>IF(AND(NOT(ISBLANK(D33)), O$10&gt;=D33, O$10&lt;=E33), "█", "")</f>
        <v/>
      </c>
      <c r="P33" s="35">
        <f>IF(AND(NOT(ISBLANK(D33)), P$10&gt;=D33, P$10&lt;=E33), "█", "")</f>
        <v/>
      </c>
      <c r="Q33" s="35">
        <f>IF(AND(NOT(ISBLANK(D33)), Q$10&gt;=D33, Q$10&lt;=E33), "█", "")</f>
        <v/>
      </c>
      <c r="R33" s="35">
        <f>IF(AND(NOT(ISBLANK(D33)), R$10&gt;=D33, R$10&lt;=E33), "█", "")</f>
        <v/>
      </c>
      <c r="S33" s="35">
        <f>IF(AND(NOT(ISBLANK(D33)), S$10&gt;=D33, S$10&lt;=E33), "█", "")</f>
        <v/>
      </c>
      <c r="T33" s="35">
        <f>IF(AND(NOT(ISBLANK(D33)), T$10&gt;=D33, T$10&lt;=E33), "█", "")</f>
        <v/>
      </c>
      <c r="U33" s="35">
        <f>IF(AND(NOT(ISBLANK(D33)), U$10&gt;=D33, U$10&lt;=E33), "█", "")</f>
        <v/>
      </c>
      <c r="V33" s="35">
        <f>IF(AND(NOT(ISBLANK(D33)), V$10&gt;=D33, V$10&lt;=E33), "█", "")</f>
        <v/>
      </c>
      <c r="W33" s="35">
        <f>IF(AND(NOT(ISBLANK(D33)), W$10&gt;=D33, W$10&lt;=E33), "█", "")</f>
        <v/>
      </c>
      <c r="X33" s="35">
        <f>IF(AND(NOT(ISBLANK(D33)), X$10&gt;=D33, X$10&lt;=E33), "█", "")</f>
        <v/>
      </c>
      <c r="Y33" s="35">
        <f>IF(AND(NOT(ISBLANK(D33)), Y$10&gt;=D33, Y$10&lt;=E33), "█", "")</f>
        <v/>
      </c>
      <c r="Z33" s="35">
        <f>IF(AND(NOT(ISBLANK(D33)), Z$10&gt;=D33, Z$10&lt;=E33), "█", "")</f>
        <v/>
      </c>
      <c r="AA33" s="35">
        <f>IF(AND(NOT(ISBLANK(D33)), AA$10&gt;=D33, AA$10&lt;=E33), "█", "")</f>
        <v/>
      </c>
      <c r="AB33" s="35">
        <f>IF(AND(NOT(ISBLANK(D33)), AB$10&gt;=D33, AB$10&lt;=E33), "█", "")</f>
        <v/>
      </c>
      <c r="AC33" s="35">
        <f>IF(AND(NOT(ISBLANK(D33)), AC$10&gt;=D33, AC$10&lt;=E33), "█", "")</f>
        <v/>
      </c>
      <c r="AD33" s="35">
        <f>IF(AND(NOT(ISBLANK(D33)), AD$10&gt;=D33, AD$10&lt;=E33), "█", "")</f>
        <v/>
      </c>
      <c r="AE33" s="35">
        <f>IF(AND(NOT(ISBLANK(D33)), AE$10&gt;=D33, AE$10&lt;=E33), "█", "")</f>
        <v/>
      </c>
      <c r="AF33" s="35">
        <f>IF(AND(NOT(ISBLANK(D33)), AF$10&gt;=D33, AF$10&lt;=E33), "█", "")</f>
        <v/>
      </c>
      <c r="AG33" s="35">
        <f>IF(AND(NOT(ISBLANK(D33)), AG$10&gt;=D33, AG$10&lt;=E33), "█", "")</f>
        <v/>
      </c>
      <c r="AH33" s="35">
        <f>IF(AND(NOT(ISBLANK(D33)), AH$10&gt;=D33, AH$10&lt;=E33), "█", "")</f>
        <v/>
      </c>
      <c r="AI33" s="35">
        <f>IF(AND(NOT(ISBLANK(D33)), AI$10&gt;=D33, AI$10&lt;=E33), "█", "")</f>
        <v/>
      </c>
      <c r="AJ33" s="35">
        <f>IF(AND(NOT(ISBLANK(D33)), AJ$10&gt;=D33, AJ$10&lt;=E33), "█", "")</f>
        <v/>
      </c>
      <c r="AK33" s="35">
        <f>IF(AND(NOT(ISBLANK(D33)), AK$10&gt;=D33, AK$10&lt;=E33), "█", "")</f>
        <v/>
      </c>
      <c r="AL33" s="35">
        <f>IF(AND(NOT(ISBLANK(D33)), AL$10&gt;=D33, AL$10&lt;=E33), "█", "")</f>
        <v/>
      </c>
      <c r="AM33" s="35">
        <f>IF(AND(NOT(ISBLANK(D33)), AM$10&gt;=D33, AM$10&lt;=E33), "█", "")</f>
        <v/>
      </c>
    </row>
    <row r="34">
      <c r="A34" s="7" t="inlineStr"/>
      <c r="B34" s="8" t="inlineStr"/>
      <c r="C34" s="19" t="inlineStr"/>
      <c r="D34" s="32" t="inlineStr"/>
      <c r="E34" s="32" t="inlineStr"/>
      <c r="F34" s="19">
        <f>IF(OR(ISBLANK(D34), ISBLANK(E34)), "", E34-D34+1)</f>
        <v/>
      </c>
      <c r="G34" s="33" t="inlineStr"/>
      <c r="H34" s="7">
        <f>IF(ISBLANK(B34), "", IF(G34=0, "Not Started", IF(G34=1, "Completed", "In Progress")))</f>
        <v/>
      </c>
      <c r="I34" s="34" t="n"/>
      <c r="J34" s="35">
        <f>IF(AND(NOT(ISBLANK(D34)), J$10&gt;=D34, J$10&lt;=E34), "█", "")</f>
        <v/>
      </c>
      <c r="K34" s="35">
        <f>IF(AND(NOT(ISBLANK(D34)), K$10&gt;=D34, K$10&lt;=E34), "█", "")</f>
        <v/>
      </c>
      <c r="L34" s="35">
        <f>IF(AND(NOT(ISBLANK(D34)), L$10&gt;=D34, L$10&lt;=E34), "█", "")</f>
        <v/>
      </c>
      <c r="M34" s="35">
        <f>IF(AND(NOT(ISBLANK(D34)), M$10&gt;=D34, M$10&lt;=E34), "█", "")</f>
        <v/>
      </c>
      <c r="N34" s="35">
        <f>IF(AND(NOT(ISBLANK(D34)), N$10&gt;=D34, N$10&lt;=E34), "█", "")</f>
        <v/>
      </c>
      <c r="O34" s="35">
        <f>IF(AND(NOT(ISBLANK(D34)), O$10&gt;=D34, O$10&lt;=E34), "█", "")</f>
        <v/>
      </c>
      <c r="P34" s="35">
        <f>IF(AND(NOT(ISBLANK(D34)), P$10&gt;=D34, P$10&lt;=E34), "█", "")</f>
        <v/>
      </c>
      <c r="Q34" s="35">
        <f>IF(AND(NOT(ISBLANK(D34)), Q$10&gt;=D34, Q$10&lt;=E34), "█", "")</f>
        <v/>
      </c>
      <c r="R34" s="35">
        <f>IF(AND(NOT(ISBLANK(D34)), R$10&gt;=D34, R$10&lt;=E34), "█", "")</f>
        <v/>
      </c>
      <c r="S34" s="35">
        <f>IF(AND(NOT(ISBLANK(D34)), S$10&gt;=D34, S$10&lt;=E34), "█", "")</f>
        <v/>
      </c>
      <c r="T34" s="35">
        <f>IF(AND(NOT(ISBLANK(D34)), T$10&gt;=D34, T$10&lt;=E34), "█", "")</f>
        <v/>
      </c>
      <c r="U34" s="35">
        <f>IF(AND(NOT(ISBLANK(D34)), U$10&gt;=D34, U$10&lt;=E34), "█", "")</f>
        <v/>
      </c>
      <c r="V34" s="35">
        <f>IF(AND(NOT(ISBLANK(D34)), V$10&gt;=D34, V$10&lt;=E34), "█", "")</f>
        <v/>
      </c>
      <c r="W34" s="35">
        <f>IF(AND(NOT(ISBLANK(D34)), W$10&gt;=D34, W$10&lt;=E34), "█", "")</f>
        <v/>
      </c>
      <c r="X34" s="35">
        <f>IF(AND(NOT(ISBLANK(D34)), X$10&gt;=D34, X$10&lt;=E34), "█", "")</f>
        <v/>
      </c>
      <c r="Y34" s="35">
        <f>IF(AND(NOT(ISBLANK(D34)), Y$10&gt;=D34, Y$10&lt;=E34), "█", "")</f>
        <v/>
      </c>
      <c r="Z34" s="35">
        <f>IF(AND(NOT(ISBLANK(D34)), Z$10&gt;=D34, Z$10&lt;=E34), "█", "")</f>
        <v/>
      </c>
      <c r="AA34" s="35">
        <f>IF(AND(NOT(ISBLANK(D34)), AA$10&gt;=D34, AA$10&lt;=E34), "█", "")</f>
        <v/>
      </c>
      <c r="AB34" s="35">
        <f>IF(AND(NOT(ISBLANK(D34)), AB$10&gt;=D34, AB$10&lt;=E34), "█", "")</f>
        <v/>
      </c>
      <c r="AC34" s="35">
        <f>IF(AND(NOT(ISBLANK(D34)), AC$10&gt;=D34, AC$10&lt;=E34), "█", "")</f>
        <v/>
      </c>
      <c r="AD34" s="35">
        <f>IF(AND(NOT(ISBLANK(D34)), AD$10&gt;=D34, AD$10&lt;=E34), "█", "")</f>
        <v/>
      </c>
      <c r="AE34" s="35">
        <f>IF(AND(NOT(ISBLANK(D34)), AE$10&gt;=D34, AE$10&lt;=E34), "█", "")</f>
        <v/>
      </c>
      <c r="AF34" s="35">
        <f>IF(AND(NOT(ISBLANK(D34)), AF$10&gt;=D34, AF$10&lt;=E34), "█", "")</f>
        <v/>
      </c>
      <c r="AG34" s="35">
        <f>IF(AND(NOT(ISBLANK(D34)), AG$10&gt;=D34, AG$10&lt;=E34), "█", "")</f>
        <v/>
      </c>
      <c r="AH34" s="35">
        <f>IF(AND(NOT(ISBLANK(D34)), AH$10&gt;=D34, AH$10&lt;=E34), "█", "")</f>
        <v/>
      </c>
      <c r="AI34" s="35">
        <f>IF(AND(NOT(ISBLANK(D34)), AI$10&gt;=D34, AI$10&lt;=E34), "█", "")</f>
        <v/>
      </c>
      <c r="AJ34" s="35">
        <f>IF(AND(NOT(ISBLANK(D34)), AJ$10&gt;=D34, AJ$10&lt;=E34), "█", "")</f>
        <v/>
      </c>
      <c r="AK34" s="35">
        <f>IF(AND(NOT(ISBLANK(D34)), AK$10&gt;=D34, AK$10&lt;=E34), "█", "")</f>
        <v/>
      </c>
      <c r="AL34" s="35">
        <f>IF(AND(NOT(ISBLANK(D34)), AL$10&gt;=D34, AL$10&lt;=E34), "█", "")</f>
        <v/>
      </c>
      <c r="AM34" s="35">
        <f>IF(AND(NOT(ISBLANK(D34)), AM$10&gt;=D34, AM$10&lt;=E34), "█", "")</f>
        <v/>
      </c>
    </row>
    <row r="35">
      <c r="A35" s="36" t="inlineStr"/>
      <c r="B35" s="37" t="inlineStr"/>
      <c r="C35" s="22" t="inlineStr"/>
      <c r="D35" s="38" t="inlineStr"/>
      <c r="E35" s="38" t="inlineStr"/>
      <c r="F35" s="22">
        <f>IF(OR(ISBLANK(D35), ISBLANK(E35)), "", E35-D35+1)</f>
        <v/>
      </c>
      <c r="G35" s="39" t="inlineStr"/>
      <c r="H35" s="36">
        <f>IF(ISBLANK(B35), "", IF(G35=0, "Not Started", IF(G35=1, "Completed", "In Progress")))</f>
        <v/>
      </c>
      <c r="I35" s="34" t="n"/>
      <c r="J35" s="35">
        <f>IF(AND(NOT(ISBLANK(D35)), J$10&gt;=D35, J$10&lt;=E35), "█", "")</f>
        <v/>
      </c>
      <c r="K35" s="35">
        <f>IF(AND(NOT(ISBLANK(D35)), K$10&gt;=D35, K$10&lt;=E35), "█", "")</f>
        <v/>
      </c>
      <c r="L35" s="35">
        <f>IF(AND(NOT(ISBLANK(D35)), L$10&gt;=D35, L$10&lt;=E35), "█", "")</f>
        <v/>
      </c>
      <c r="M35" s="35">
        <f>IF(AND(NOT(ISBLANK(D35)), M$10&gt;=D35, M$10&lt;=E35), "█", "")</f>
        <v/>
      </c>
      <c r="N35" s="35">
        <f>IF(AND(NOT(ISBLANK(D35)), N$10&gt;=D35, N$10&lt;=E35), "█", "")</f>
        <v/>
      </c>
      <c r="O35" s="35">
        <f>IF(AND(NOT(ISBLANK(D35)), O$10&gt;=D35, O$10&lt;=E35), "█", "")</f>
        <v/>
      </c>
      <c r="P35" s="35">
        <f>IF(AND(NOT(ISBLANK(D35)), P$10&gt;=D35, P$10&lt;=E35), "█", "")</f>
        <v/>
      </c>
      <c r="Q35" s="35">
        <f>IF(AND(NOT(ISBLANK(D35)), Q$10&gt;=D35, Q$10&lt;=E35), "█", "")</f>
        <v/>
      </c>
      <c r="R35" s="35">
        <f>IF(AND(NOT(ISBLANK(D35)), R$10&gt;=D35, R$10&lt;=E35), "█", "")</f>
        <v/>
      </c>
      <c r="S35" s="35">
        <f>IF(AND(NOT(ISBLANK(D35)), S$10&gt;=D35, S$10&lt;=E35), "█", "")</f>
        <v/>
      </c>
      <c r="T35" s="35">
        <f>IF(AND(NOT(ISBLANK(D35)), T$10&gt;=D35, T$10&lt;=E35), "█", "")</f>
        <v/>
      </c>
      <c r="U35" s="35">
        <f>IF(AND(NOT(ISBLANK(D35)), U$10&gt;=D35, U$10&lt;=E35), "█", "")</f>
        <v/>
      </c>
      <c r="V35" s="35">
        <f>IF(AND(NOT(ISBLANK(D35)), V$10&gt;=D35, V$10&lt;=E35), "█", "")</f>
        <v/>
      </c>
      <c r="W35" s="35">
        <f>IF(AND(NOT(ISBLANK(D35)), W$10&gt;=D35, W$10&lt;=E35), "█", "")</f>
        <v/>
      </c>
      <c r="X35" s="35">
        <f>IF(AND(NOT(ISBLANK(D35)), X$10&gt;=D35, X$10&lt;=E35), "█", "")</f>
        <v/>
      </c>
      <c r="Y35" s="35">
        <f>IF(AND(NOT(ISBLANK(D35)), Y$10&gt;=D35, Y$10&lt;=E35), "█", "")</f>
        <v/>
      </c>
      <c r="Z35" s="35">
        <f>IF(AND(NOT(ISBLANK(D35)), Z$10&gt;=D35, Z$10&lt;=E35), "█", "")</f>
        <v/>
      </c>
      <c r="AA35" s="35">
        <f>IF(AND(NOT(ISBLANK(D35)), AA$10&gt;=D35, AA$10&lt;=E35), "█", "")</f>
        <v/>
      </c>
      <c r="AB35" s="35">
        <f>IF(AND(NOT(ISBLANK(D35)), AB$10&gt;=D35, AB$10&lt;=E35), "█", "")</f>
        <v/>
      </c>
      <c r="AC35" s="35">
        <f>IF(AND(NOT(ISBLANK(D35)), AC$10&gt;=D35, AC$10&lt;=E35), "█", "")</f>
        <v/>
      </c>
      <c r="AD35" s="35">
        <f>IF(AND(NOT(ISBLANK(D35)), AD$10&gt;=D35, AD$10&lt;=E35), "█", "")</f>
        <v/>
      </c>
      <c r="AE35" s="35">
        <f>IF(AND(NOT(ISBLANK(D35)), AE$10&gt;=D35, AE$10&lt;=E35), "█", "")</f>
        <v/>
      </c>
      <c r="AF35" s="35">
        <f>IF(AND(NOT(ISBLANK(D35)), AF$10&gt;=D35, AF$10&lt;=E35), "█", "")</f>
        <v/>
      </c>
      <c r="AG35" s="35">
        <f>IF(AND(NOT(ISBLANK(D35)), AG$10&gt;=D35, AG$10&lt;=E35), "█", "")</f>
        <v/>
      </c>
      <c r="AH35" s="35">
        <f>IF(AND(NOT(ISBLANK(D35)), AH$10&gt;=D35, AH$10&lt;=E35), "█", "")</f>
        <v/>
      </c>
      <c r="AI35" s="35">
        <f>IF(AND(NOT(ISBLANK(D35)), AI$10&gt;=D35, AI$10&lt;=E35), "█", "")</f>
        <v/>
      </c>
      <c r="AJ35" s="35">
        <f>IF(AND(NOT(ISBLANK(D35)), AJ$10&gt;=D35, AJ$10&lt;=E35), "█", "")</f>
        <v/>
      </c>
      <c r="AK35" s="35">
        <f>IF(AND(NOT(ISBLANK(D35)), AK$10&gt;=D35, AK$10&lt;=E35), "█", "")</f>
        <v/>
      </c>
      <c r="AL35" s="35">
        <f>IF(AND(NOT(ISBLANK(D35)), AL$10&gt;=D35, AL$10&lt;=E35), "█", "")</f>
        <v/>
      </c>
      <c r="AM35" s="35">
        <f>IF(AND(NOT(ISBLANK(D35)), AM$10&gt;=D35, AM$10&lt;=E35), "█", "")</f>
        <v/>
      </c>
    </row>
    <row r="36">
      <c r="A36" s="7" t="inlineStr"/>
      <c r="B36" s="8" t="inlineStr"/>
      <c r="C36" s="19" t="inlineStr"/>
      <c r="D36" s="32" t="inlineStr"/>
      <c r="E36" s="32" t="inlineStr"/>
      <c r="F36" s="19">
        <f>IF(OR(ISBLANK(D36), ISBLANK(E36)), "", E36-D36+1)</f>
        <v/>
      </c>
      <c r="G36" s="33" t="inlineStr"/>
      <c r="H36" s="7">
        <f>IF(ISBLANK(B36), "", IF(G36=0, "Not Started", IF(G36=1, "Completed", "In Progress")))</f>
        <v/>
      </c>
      <c r="I36" s="34" t="n"/>
      <c r="J36" s="35">
        <f>IF(AND(NOT(ISBLANK(D36)), J$10&gt;=D36, J$10&lt;=E36), "█", "")</f>
        <v/>
      </c>
      <c r="K36" s="35">
        <f>IF(AND(NOT(ISBLANK(D36)), K$10&gt;=D36, K$10&lt;=E36), "█", "")</f>
        <v/>
      </c>
      <c r="L36" s="35">
        <f>IF(AND(NOT(ISBLANK(D36)), L$10&gt;=D36, L$10&lt;=E36), "█", "")</f>
        <v/>
      </c>
      <c r="M36" s="35">
        <f>IF(AND(NOT(ISBLANK(D36)), M$10&gt;=D36, M$10&lt;=E36), "█", "")</f>
        <v/>
      </c>
      <c r="N36" s="35">
        <f>IF(AND(NOT(ISBLANK(D36)), N$10&gt;=D36, N$10&lt;=E36), "█", "")</f>
        <v/>
      </c>
      <c r="O36" s="35">
        <f>IF(AND(NOT(ISBLANK(D36)), O$10&gt;=D36, O$10&lt;=E36), "█", "")</f>
        <v/>
      </c>
      <c r="P36" s="35">
        <f>IF(AND(NOT(ISBLANK(D36)), P$10&gt;=D36, P$10&lt;=E36), "█", "")</f>
        <v/>
      </c>
      <c r="Q36" s="35">
        <f>IF(AND(NOT(ISBLANK(D36)), Q$10&gt;=D36, Q$10&lt;=E36), "█", "")</f>
        <v/>
      </c>
      <c r="R36" s="35">
        <f>IF(AND(NOT(ISBLANK(D36)), R$10&gt;=D36, R$10&lt;=E36), "█", "")</f>
        <v/>
      </c>
      <c r="S36" s="35">
        <f>IF(AND(NOT(ISBLANK(D36)), S$10&gt;=D36, S$10&lt;=E36), "█", "")</f>
        <v/>
      </c>
      <c r="T36" s="35">
        <f>IF(AND(NOT(ISBLANK(D36)), T$10&gt;=D36, T$10&lt;=E36), "█", "")</f>
        <v/>
      </c>
      <c r="U36" s="35">
        <f>IF(AND(NOT(ISBLANK(D36)), U$10&gt;=D36, U$10&lt;=E36), "█", "")</f>
        <v/>
      </c>
      <c r="V36" s="35">
        <f>IF(AND(NOT(ISBLANK(D36)), V$10&gt;=D36, V$10&lt;=E36), "█", "")</f>
        <v/>
      </c>
      <c r="W36" s="35">
        <f>IF(AND(NOT(ISBLANK(D36)), W$10&gt;=D36, W$10&lt;=E36), "█", "")</f>
        <v/>
      </c>
      <c r="X36" s="35">
        <f>IF(AND(NOT(ISBLANK(D36)), X$10&gt;=D36, X$10&lt;=E36), "█", "")</f>
        <v/>
      </c>
      <c r="Y36" s="35">
        <f>IF(AND(NOT(ISBLANK(D36)), Y$10&gt;=D36, Y$10&lt;=E36), "█", "")</f>
        <v/>
      </c>
      <c r="Z36" s="35">
        <f>IF(AND(NOT(ISBLANK(D36)), Z$10&gt;=D36, Z$10&lt;=E36), "█", "")</f>
        <v/>
      </c>
      <c r="AA36" s="35">
        <f>IF(AND(NOT(ISBLANK(D36)), AA$10&gt;=D36, AA$10&lt;=E36), "█", "")</f>
        <v/>
      </c>
      <c r="AB36" s="35">
        <f>IF(AND(NOT(ISBLANK(D36)), AB$10&gt;=D36, AB$10&lt;=E36), "█", "")</f>
        <v/>
      </c>
      <c r="AC36" s="35">
        <f>IF(AND(NOT(ISBLANK(D36)), AC$10&gt;=D36, AC$10&lt;=E36), "█", "")</f>
        <v/>
      </c>
      <c r="AD36" s="35">
        <f>IF(AND(NOT(ISBLANK(D36)), AD$10&gt;=D36, AD$10&lt;=E36), "█", "")</f>
        <v/>
      </c>
      <c r="AE36" s="35">
        <f>IF(AND(NOT(ISBLANK(D36)), AE$10&gt;=D36, AE$10&lt;=E36), "█", "")</f>
        <v/>
      </c>
      <c r="AF36" s="35">
        <f>IF(AND(NOT(ISBLANK(D36)), AF$10&gt;=D36, AF$10&lt;=E36), "█", "")</f>
        <v/>
      </c>
      <c r="AG36" s="35">
        <f>IF(AND(NOT(ISBLANK(D36)), AG$10&gt;=D36, AG$10&lt;=E36), "█", "")</f>
        <v/>
      </c>
      <c r="AH36" s="35">
        <f>IF(AND(NOT(ISBLANK(D36)), AH$10&gt;=D36, AH$10&lt;=E36), "█", "")</f>
        <v/>
      </c>
      <c r="AI36" s="35">
        <f>IF(AND(NOT(ISBLANK(D36)), AI$10&gt;=D36, AI$10&lt;=E36), "█", "")</f>
        <v/>
      </c>
      <c r="AJ36" s="35">
        <f>IF(AND(NOT(ISBLANK(D36)), AJ$10&gt;=D36, AJ$10&lt;=E36), "█", "")</f>
        <v/>
      </c>
      <c r="AK36" s="35">
        <f>IF(AND(NOT(ISBLANK(D36)), AK$10&gt;=D36, AK$10&lt;=E36), "█", "")</f>
        <v/>
      </c>
      <c r="AL36" s="35">
        <f>IF(AND(NOT(ISBLANK(D36)), AL$10&gt;=D36, AL$10&lt;=E36), "█", "")</f>
        <v/>
      </c>
      <c r="AM36" s="35">
        <f>IF(AND(NOT(ISBLANK(D36)), AM$10&gt;=D36, AM$10&lt;=E36), "█", "")</f>
        <v/>
      </c>
    </row>
    <row r="37">
      <c r="A37" s="36" t="inlineStr"/>
      <c r="B37" s="37" t="inlineStr"/>
      <c r="C37" s="22" t="inlineStr"/>
      <c r="D37" s="38" t="inlineStr"/>
      <c r="E37" s="38" t="inlineStr"/>
      <c r="F37" s="22">
        <f>IF(OR(ISBLANK(D37), ISBLANK(E37)), "", E37-D37+1)</f>
        <v/>
      </c>
      <c r="G37" s="39" t="inlineStr"/>
      <c r="H37" s="36">
        <f>IF(ISBLANK(B37), "", IF(G37=0, "Not Started", IF(G37=1, "Completed", "In Progress")))</f>
        <v/>
      </c>
      <c r="I37" s="34" t="n"/>
      <c r="J37" s="35">
        <f>IF(AND(NOT(ISBLANK(D37)), J$10&gt;=D37, J$10&lt;=E37), "█", "")</f>
        <v/>
      </c>
      <c r="K37" s="35">
        <f>IF(AND(NOT(ISBLANK(D37)), K$10&gt;=D37, K$10&lt;=E37), "█", "")</f>
        <v/>
      </c>
      <c r="L37" s="35">
        <f>IF(AND(NOT(ISBLANK(D37)), L$10&gt;=D37, L$10&lt;=E37), "█", "")</f>
        <v/>
      </c>
      <c r="M37" s="35">
        <f>IF(AND(NOT(ISBLANK(D37)), M$10&gt;=D37, M$10&lt;=E37), "█", "")</f>
        <v/>
      </c>
      <c r="N37" s="35">
        <f>IF(AND(NOT(ISBLANK(D37)), N$10&gt;=D37, N$10&lt;=E37), "█", "")</f>
        <v/>
      </c>
      <c r="O37" s="35">
        <f>IF(AND(NOT(ISBLANK(D37)), O$10&gt;=D37, O$10&lt;=E37), "█", "")</f>
        <v/>
      </c>
      <c r="P37" s="35">
        <f>IF(AND(NOT(ISBLANK(D37)), P$10&gt;=D37, P$10&lt;=E37), "█", "")</f>
        <v/>
      </c>
      <c r="Q37" s="35">
        <f>IF(AND(NOT(ISBLANK(D37)), Q$10&gt;=D37, Q$10&lt;=E37), "█", "")</f>
        <v/>
      </c>
      <c r="R37" s="35">
        <f>IF(AND(NOT(ISBLANK(D37)), R$10&gt;=D37, R$10&lt;=E37), "█", "")</f>
        <v/>
      </c>
      <c r="S37" s="35">
        <f>IF(AND(NOT(ISBLANK(D37)), S$10&gt;=D37, S$10&lt;=E37), "█", "")</f>
        <v/>
      </c>
      <c r="T37" s="35">
        <f>IF(AND(NOT(ISBLANK(D37)), T$10&gt;=D37, T$10&lt;=E37), "█", "")</f>
        <v/>
      </c>
      <c r="U37" s="35">
        <f>IF(AND(NOT(ISBLANK(D37)), U$10&gt;=D37, U$10&lt;=E37), "█", "")</f>
        <v/>
      </c>
      <c r="V37" s="35">
        <f>IF(AND(NOT(ISBLANK(D37)), V$10&gt;=D37, V$10&lt;=E37), "█", "")</f>
        <v/>
      </c>
      <c r="W37" s="35">
        <f>IF(AND(NOT(ISBLANK(D37)), W$10&gt;=D37, W$10&lt;=E37), "█", "")</f>
        <v/>
      </c>
      <c r="X37" s="35">
        <f>IF(AND(NOT(ISBLANK(D37)), X$10&gt;=D37, X$10&lt;=E37), "█", "")</f>
        <v/>
      </c>
      <c r="Y37" s="35">
        <f>IF(AND(NOT(ISBLANK(D37)), Y$10&gt;=D37, Y$10&lt;=E37), "█", "")</f>
        <v/>
      </c>
      <c r="Z37" s="35">
        <f>IF(AND(NOT(ISBLANK(D37)), Z$10&gt;=D37, Z$10&lt;=E37), "█", "")</f>
        <v/>
      </c>
      <c r="AA37" s="35">
        <f>IF(AND(NOT(ISBLANK(D37)), AA$10&gt;=D37, AA$10&lt;=E37), "█", "")</f>
        <v/>
      </c>
      <c r="AB37" s="35">
        <f>IF(AND(NOT(ISBLANK(D37)), AB$10&gt;=D37, AB$10&lt;=E37), "█", "")</f>
        <v/>
      </c>
      <c r="AC37" s="35">
        <f>IF(AND(NOT(ISBLANK(D37)), AC$10&gt;=D37, AC$10&lt;=E37), "█", "")</f>
        <v/>
      </c>
      <c r="AD37" s="35">
        <f>IF(AND(NOT(ISBLANK(D37)), AD$10&gt;=D37, AD$10&lt;=E37), "█", "")</f>
        <v/>
      </c>
      <c r="AE37" s="35">
        <f>IF(AND(NOT(ISBLANK(D37)), AE$10&gt;=D37, AE$10&lt;=E37), "█", "")</f>
        <v/>
      </c>
      <c r="AF37" s="35">
        <f>IF(AND(NOT(ISBLANK(D37)), AF$10&gt;=D37, AF$10&lt;=E37), "█", "")</f>
        <v/>
      </c>
      <c r="AG37" s="35">
        <f>IF(AND(NOT(ISBLANK(D37)), AG$10&gt;=D37, AG$10&lt;=E37), "█", "")</f>
        <v/>
      </c>
      <c r="AH37" s="35">
        <f>IF(AND(NOT(ISBLANK(D37)), AH$10&gt;=D37, AH$10&lt;=E37), "█", "")</f>
        <v/>
      </c>
      <c r="AI37" s="35">
        <f>IF(AND(NOT(ISBLANK(D37)), AI$10&gt;=D37, AI$10&lt;=E37), "█", "")</f>
        <v/>
      </c>
      <c r="AJ37" s="35">
        <f>IF(AND(NOT(ISBLANK(D37)), AJ$10&gt;=D37, AJ$10&lt;=E37), "█", "")</f>
        <v/>
      </c>
      <c r="AK37" s="35">
        <f>IF(AND(NOT(ISBLANK(D37)), AK$10&gt;=D37, AK$10&lt;=E37), "█", "")</f>
        <v/>
      </c>
      <c r="AL37" s="35">
        <f>IF(AND(NOT(ISBLANK(D37)), AL$10&gt;=D37, AL$10&lt;=E37), "█", "")</f>
        <v/>
      </c>
      <c r="AM37" s="35">
        <f>IF(AND(NOT(ISBLANK(D37)), AM$10&gt;=D37, AM$10&lt;=E37), "█", "")</f>
        <v/>
      </c>
    </row>
    <row r="38">
      <c r="A38" s="7" t="inlineStr"/>
      <c r="B38" s="8" t="inlineStr"/>
      <c r="C38" s="19" t="inlineStr"/>
      <c r="D38" s="32" t="inlineStr"/>
      <c r="E38" s="32" t="inlineStr"/>
      <c r="F38" s="19">
        <f>IF(OR(ISBLANK(D38), ISBLANK(E38)), "", E38-D38+1)</f>
        <v/>
      </c>
      <c r="G38" s="33" t="inlineStr"/>
      <c r="H38" s="7">
        <f>IF(ISBLANK(B38), "", IF(G38=0, "Not Started", IF(G38=1, "Completed", "In Progress")))</f>
        <v/>
      </c>
      <c r="I38" s="34" t="n"/>
      <c r="J38" s="35">
        <f>IF(AND(NOT(ISBLANK(D38)), J$10&gt;=D38, J$10&lt;=E38), "█", "")</f>
        <v/>
      </c>
      <c r="K38" s="35">
        <f>IF(AND(NOT(ISBLANK(D38)), K$10&gt;=D38, K$10&lt;=E38), "█", "")</f>
        <v/>
      </c>
      <c r="L38" s="35">
        <f>IF(AND(NOT(ISBLANK(D38)), L$10&gt;=D38, L$10&lt;=E38), "█", "")</f>
        <v/>
      </c>
      <c r="M38" s="35">
        <f>IF(AND(NOT(ISBLANK(D38)), M$10&gt;=D38, M$10&lt;=E38), "█", "")</f>
        <v/>
      </c>
      <c r="N38" s="35">
        <f>IF(AND(NOT(ISBLANK(D38)), N$10&gt;=D38, N$10&lt;=E38), "█", "")</f>
        <v/>
      </c>
      <c r="O38" s="35">
        <f>IF(AND(NOT(ISBLANK(D38)), O$10&gt;=D38, O$10&lt;=E38), "█", "")</f>
        <v/>
      </c>
      <c r="P38" s="35">
        <f>IF(AND(NOT(ISBLANK(D38)), P$10&gt;=D38, P$10&lt;=E38), "█", "")</f>
        <v/>
      </c>
      <c r="Q38" s="35">
        <f>IF(AND(NOT(ISBLANK(D38)), Q$10&gt;=D38, Q$10&lt;=E38), "█", "")</f>
        <v/>
      </c>
      <c r="R38" s="35">
        <f>IF(AND(NOT(ISBLANK(D38)), R$10&gt;=D38, R$10&lt;=E38), "█", "")</f>
        <v/>
      </c>
      <c r="S38" s="35">
        <f>IF(AND(NOT(ISBLANK(D38)), S$10&gt;=D38, S$10&lt;=E38), "█", "")</f>
        <v/>
      </c>
      <c r="T38" s="35">
        <f>IF(AND(NOT(ISBLANK(D38)), T$10&gt;=D38, T$10&lt;=E38), "█", "")</f>
        <v/>
      </c>
      <c r="U38" s="35">
        <f>IF(AND(NOT(ISBLANK(D38)), U$10&gt;=D38, U$10&lt;=E38), "█", "")</f>
        <v/>
      </c>
      <c r="V38" s="35">
        <f>IF(AND(NOT(ISBLANK(D38)), V$10&gt;=D38, V$10&lt;=E38), "█", "")</f>
        <v/>
      </c>
      <c r="W38" s="35">
        <f>IF(AND(NOT(ISBLANK(D38)), W$10&gt;=D38, W$10&lt;=E38), "█", "")</f>
        <v/>
      </c>
      <c r="X38" s="35">
        <f>IF(AND(NOT(ISBLANK(D38)), X$10&gt;=D38, X$10&lt;=E38), "█", "")</f>
        <v/>
      </c>
      <c r="Y38" s="35">
        <f>IF(AND(NOT(ISBLANK(D38)), Y$10&gt;=D38, Y$10&lt;=E38), "█", "")</f>
        <v/>
      </c>
      <c r="Z38" s="35">
        <f>IF(AND(NOT(ISBLANK(D38)), Z$10&gt;=D38, Z$10&lt;=E38), "█", "")</f>
        <v/>
      </c>
      <c r="AA38" s="35">
        <f>IF(AND(NOT(ISBLANK(D38)), AA$10&gt;=D38, AA$10&lt;=E38), "█", "")</f>
        <v/>
      </c>
      <c r="AB38" s="35">
        <f>IF(AND(NOT(ISBLANK(D38)), AB$10&gt;=D38, AB$10&lt;=E38), "█", "")</f>
        <v/>
      </c>
      <c r="AC38" s="35">
        <f>IF(AND(NOT(ISBLANK(D38)), AC$10&gt;=D38, AC$10&lt;=E38), "█", "")</f>
        <v/>
      </c>
      <c r="AD38" s="35">
        <f>IF(AND(NOT(ISBLANK(D38)), AD$10&gt;=D38, AD$10&lt;=E38), "█", "")</f>
        <v/>
      </c>
      <c r="AE38" s="35">
        <f>IF(AND(NOT(ISBLANK(D38)), AE$10&gt;=D38, AE$10&lt;=E38), "█", "")</f>
        <v/>
      </c>
      <c r="AF38" s="35">
        <f>IF(AND(NOT(ISBLANK(D38)), AF$10&gt;=D38, AF$10&lt;=E38), "█", "")</f>
        <v/>
      </c>
      <c r="AG38" s="35">
        <f>IF(AND(NOT(ISBLANK(D38)), AG$10&gt;=D38, AG$10&lt;=E38), "█", "")</f>
        <v/>
      </c>
      <c r="AH38" s="35">
        <f>IF(AND(NOT(ISBLANK(D38)), AH$10&gt;=D38, AH$10&lt;=E38), "█", "")</f>
        <v/>
      </c>
      <c r="AI38" s="35">
        <f>IF(AND(NOT(ISBLANK(D38)), AI$10&gt;=D38, AI$10&lt;=E38), "█", "")</f>
        <v/>
      </c>
      <c r="AJ38" s="35">
        <f>IF(AND(NOT(ISBLANK(D38)), AJ$10&gt;=D38, AJ$10&lt;=E38), "█", "")</f>
        <v/>
      </c>
      <c r="AK38" s="35">
        <f>IF(AND(NOT(ISBLANK(D38)), AK$10&gt;=D38, AK$10&lt;=E38), "█", "")</f>
        <v/>
      </c>
      <c r="AL38" s="35">
        <f>IF(AND(NOT(ISBLANK(D38)), AL$10&gt;=D38, AL$10&lt;=E38), "█", "")</f>
        <v/>
      </c>
      <c r="AM38" s="35">
        <f>IF(AND(NOT(ISBLANK(D38)), AM$10&gt;=D38, AM$10&lt;=E38), "█", "")</f>
        <v/>
      </c>
    </row>
    <row r="39">
      <c r="A39" s="36" t="inlineStr"/>
      <c r="B39" s="37" t="inlineStr"/>
      <c r="C39" s="22" t="inlineStr"/>
      <c r="D39" s="38" t="inlineStr"/>
      <c r="E39" s="38" t="inlineStr"/>
      <c r="F39" s="22">
        <f>IF(OR(ISBLANK(D39), ISBLANK(E39)), "", E39-D39+1)</f>
        <v/>
      </c>
      <c r="G39" s="39" t="inlineStr"/>
      <c r="H39" s="36">
        <f>IF(ISBLANK(B39), "", IF(G39=0, "Not Started", IF(G39=1, "Completed", "In Progress")))</f>
        <v/>
      </c>
      <c r="I39" s="34" t="n"/>
      <c r="J39" s="35">
        <f>IF(AND(NOT(ISBLANK(D39)), J$10&gt;=D39, J$10&lt;=E39), "█", "")</f>
        <v/>
      </c>
      <c r="K39" s="35">
        <f>IF(AND(NOT(ISBLANK(D39)), K$10&gt;=D39, K$10&lt;=E39), "█", "")</f>
        <v/>
      </c>
      <c r="L39" s="35">
        <f>IF(AND(NOT(ISBLANK(D39)), L$10&gt;=D39, L$10&lt;=E39), "█", "")</f>
        <v/>
      </c>
      <c r="M39" s="35">
        <f>IF(AND(NOT(ISBLANK(D39)), M$10&gt;=D39, M$10&lt;=E39), "█", "")</f>
        <v/>
      </c>
      <c r="N39" s="35">
        <f>IF(AND(NOT(ISBLANK(D39)), N$10&gt;=D39, N$10&lt;=E39), "█", "")</f>
        <v/>
      </c>
      <c r="O39" s="35">
        <f>IF(AND(NOT(ISBLANK(D39)), O$10&gt;=D39, O$10&lt;=E39), "█", "")</f>
        <v/>
      </c>
      <c r="P39" s="35">
        <f>IF(AND(NOT(ISBLANK(D39)), P$10&gt;=D39, P$10&lt;=E39), "█", "")</f>
        <v/>
      </c>
      <c r="Q39" s="35">
        <f>IF(AND(NOT(ISBLANK(D39)), Q$10&gt;=D39, Q$10&lt;=E39), "█", "")</f>
        <v/>
      </c>
      <c r="R39" s="35">
        <f>IF(AND(NOT(ISBLANK(D39)), R$10&gt;=D39, R$10&lt;=E39), "█", "")</f>
        <v/>
      </c>
      <c r="S39" s="35">
        <f>IF(AND(NOT(ISBLANK(D39)), S$10&gt;=D39, S$10&lt;=E39), "█", "")</f>
        <v/>
      </c>
      <c r="T39" s="35">
        <f>IF(AND(NOT(ISBLANK(D39)), T$10&gt;=D39, T$10&lt;=E39), "█", "")</f>
        <v/>
      </c>
      <c r="U39" s="35">
        <f>IF(AND(NOT(ISBLANK(D39)), U$10&gt;=D39, U$10&lt;=E39), "█", "")</f>
        <v/>
      </c>
      <c r="V39" s="35">
        <f>IF(AND(NOT(ISBLANK(D39)), V$10&gt;=D39, V$10&lt;=E39), "█", "")</f>
        <v/>
      </c>
      <c r="W39" s="35">
        <f>IF(AND(NOT(ISBLANK(D39)), W$10&gt;=D39, W$10&lt;=E39), "█", "")</f>
        <v/>
      </c>
      <c r="X39" s="35">
        <f>IF(AND(NOT(ISBLANK(D39)), X$10&gt;=D39, X$10&lt;=E39), "█", "")</f>
        <v/>
      </c>
      <c r="Y39" s="35">
        <f>IF(AND(NOT(ISBLANK(D39)), Y$10&gt;=D39, Y$10&lt;=E39), "█", "")</f>
        <v/>
      </c>
      <c r="Z39" s="35">
        <f>IF(AND(NOT(ISBLANK(D39)), Z$10&gt;=D39, Z$10&lt;=E39), "█", "")</f>
        <v/>
      </c>
      <c r="AA39" s="35">
        <f>IF(AND(NOT(ISBLANK(D39)), AA$10&gt;=D39, AA$10&lt;=E39), "█", "")</f>
        <v/>
      </c>
      <c r="AB39" s="35">
        <f>IF(AND(NOT(ISBLANK(D39)), AB$10&gt;=D39, AB$10&lt;=E39), "█", "")</f>
        <v/>
      </c>
      <c r="AC39" s="35">
        <f>IF(AND(NOT(ISBLANK(D39)), AC$10&gt;=D39, AC$10&lt;=E39), "█", "")</f>
        <v/>
      </c>
      <c r="AD39" s="35">
        <f>IF(AND(NOT(ISBLANK(D39)), AD$10&gt;=D39, AD$10&lt;=E39), "█", "")</f>
        <v/>
      </c>
      <c r="AE39" s="35">
        <f>IF(AND(NOT(ISBLANK(D39)), AE$10&gt;=D39, AE$10&lt;=E39), "█", "")</f>
        <v/>
      </c>
      <c r="AF39" s="35">
        <f>IF(AND(NOT(ISBLANK(D39)), AF$10&gt;=D39, AF$10&lt;=E39), "█", "")</f>
        <v/>
      </c>
      <c r="AG39" s="35">
        <f>IF(AND(NOT(ISBLANK(D39)), AG$10&gt;=D39, AG$10&lt;=E39), "█", "")</f>
        <v/>
      </c>
      <c r="AH39" s="35">
        <f>IF(AND(NOT(ISBLANK(D39)), AH$10&gt;=D39, AH$10&lt;=E39), "█", "")</f>
        <v/>
      </c>
      <c r="AI39" s="35">
        <f>IF(AND(NOT(ISBLANK(D39)), AI$10&gt;=D39, AI$10&lt;=E39), "█", "")</f>
        <v/>
      </c>
      <c r="AJ39" s="35">
        <f>IF(AND(NOT(ISBLANK(D39)), AJ$10&gt;=D39, AJ$10&lt;=E39), "█", "")</f>
        <v/>
      </c>
      <c r="AK39" s="35">
        <f>IF(AND(NOT(ISBLANK(D39)), AK$10&gt;=D39, AK$10&lt;=E39), "█", "")</f>
        <v/>
      </c>
      <c r="AL39" s="35">
        <f>IF(AND(NOT(ISBLANK(D39)), AL$10&gt;=D39, AL$10&lt;=E39), "█", "")</f>
        <v/>
      </c>
      <c r="AM39" s="35">
        <f>IF(AND(NOT(ISBLANK(D39)), AM$10&gt;=D39, AM$10&lt;=E39), "█", "")</f>
        <v/>
      </c>
    </row>
    <row r="40">
      <c r="A40" s="7" t="inlineStr"/>
      <c r="B40" s="8" t="inlineStr"/>
      <c r="C40" s="19" t="inlineStr"/>
      <c r="D40" s="32" t="inlineStr"/>
      <c r="E40" s="32" t="inlineStr"/>
      <c r="F40" s="19">
        <f>IF(OR(ISBLANK(D40), ISBLANK(E40)), "", E40-D40+1)</f>
        <v/>
      </c>
      <c r="G40" s="33" t="inlineStr"/>
      <c r="H40" s="7">
        <f>IF(ISBLANK(B40), "", IF(G40=0, "Not Started", IF(G40=1, "Completed", "In Progress")))</f>
        <v/>
      </c>
      <c r="I40" s="34" t="n"/>
      <c r="J40" s="35">
        <f>IF(AND(NOT(ISBLANK(D40)), J$10&gt;=D40, J$10&lt;=E40), "█", "")</f>
        <v/>
      </c>
      <c r="K40" s="35">
        <f>IF(AND(NOT(ISBLANK(D40)), K$10&gt;=D40, K$10&lt;=E40), "█", "")</f>
        <v/>
      </c>
      <c r="L40" s="35">
        <f>IF(AND(NOT(ISBLANK(D40)), L$10&gt;=D40, L$10&lt;=E40), "█", "")</f>
        <v/>
      </c>
      <c r="M40" s="35">
        <f>IF(AND(NOT(ISBLANK(D40)), M$10&gt;=D40, M$10&lt;=E40), "█", "")</f>
        <v/>
      </c>
      <c r="N40" s="35">
        <f>IF(AND(NOT(ISBLANK(D40)), N$10&gt;=D40, N$10&lt;=E40), "█", "")</f>
        <v/>
      </c>
      <c r="O40" s="35">
        <f>IF(AND(NOT(ISBLANK(D40)), O$10&gt;=D40, O$10&lt;=E40), "█", "")</f>
        <v/>
      </c>
      <c r="P40" s="35">
        <f>IF(AND(NOT(ISBLANK(D40)), P$10&gt;=D40, P$10&lt;=E40), "█", "")</f>
        <v/>
      </c>
      <c r="Q40" s="35">
        <f>IF(AND(NOT(ISBLANK(D40)), Q$10&gt;=D40, Q$10&lt;=E40), "█", "")</f>
        <v/>
      </c>
      <c r="R40" s="35">
        <f>IF(AND(NOT(ISBLANK(D40)), R$10&gt;=D40, R$10&lt;=E40), "█", "")</f>
        <v/>
      </c>
      <c r="S40" s="35">
        <f>IF(AND(NOT(ISBLANK(D40)), S$10&gt;=D40, S$10&lt;=E40), "█", "")</f>
        <v/>
      </c>
      <c r="T40" s="35">
        <f>IF(AND(NOT(ISBLANK(D40)), T$10&gt;=D40, T$10&lt;=E40), "█", "")</f>
        <v/>
      </c>
      <c r="U40" s="35">
        <f>IF(AND(NOT(ISBLANK(D40)), U$10&gt;=D40, U$10&lt;=E40), "█", "")</f>
        <v/>
      </c>
      <c r="V40" s="35">
        <f>IF(AND(NOT(ISBLANK(D40)), V$10&gt;=D40, V$10&lt;=E40), "█", "")</f>
        <v/>
      </c>
      <c r="W40" s="35">
        <f>IF(AND(NOT(ISBLANK(D40)), W$10&gt;=D40, W$10&lt;=E40), "█", "")</f>
        <v/>
      </c>
      <c r="X40" s="35">
        <f>IF(AND(NOT(ISBLANK(D40)), X$10&gt;=D40, X$10&lt;=E40), "█", "")</f>
        <v/>
      </c>
      <c r="Y40" s="35">
        <f>IF(AND(NOT(ISBLANK(D40)), Y$10&gt;=D40, Y$10&lt;=E40), "█", "")</f>
        <v/>
      </c>
      <c r="Z40" s="35">
        <f>IF(AND(NOT(ISBLANK(D40)), Z$10&gt;=D40, Z$10&lt;=E40), "█", "")</f>
        <v/>
      </c>
      <c r="AA40" s="35">
        <f>IF(AND(NOT(ISBLANK(D40)), AA$10&gt;=D40, AA$10&lt;=E40), "█", "")</f>
        <v/>
      </c>
      <c r="AB40" s="35">
        <f>IF(AND(NOT(ISBLANK(D40)), AB$10&gt;=D40, AB$10&lt;=E40), "█", "")</f>
        <v/>
      </c>
      <c r="AC40" s="35">
        <f>IF(AND(NOT(ISBLANK(D40)), AC$10&gt;=D40, AC$10&lt;=E40), "█", "")</f>
        <v/>
      </c>
      <c r="AD40" s="35">
        <f>IF(AND(NOT(ISBLANK(D40)), AD$10&gt;=D40, AD$10&lt;=E40), "█", "")</f>
        <v/>
      </c>
      <c r="AE40" s="35">
        <f>IF(AND(NOT(ISBLANK(D40)), AE$10&gt;=D40, AE$10&lt;=E40), "█", "")</f>
        <v/>
      </c>
      <c r="AF40" s="35">
        <f>IF(AND(NOT(ISBLANK(D40)), AF$10&gt;=D40, AF$10&lt;=E40), "█", "")</f>
        <v/>
      </c>
      <c r="AG40" s="35">
        <f>IF(AND(NOT(ISBLANK(D40)), AG$10&gt;=D40, AG$10&lt;=E40), "█", "")</f>
        <v/>
      </c>
      <c r="AH40" s="35">
        <f>IF(AND(NOT(ISBLANK(D40)), AH$10&gt;=D40, AH$10&lt;=E40), "█", "")</f>
        <v/>
      </c>
      <c r="AI40" s="35">
        <f>IF(AND(NOT(ISBLANK(D40)), AI$10&gt;=D40, AI$10&lt;=E40), "█", "")</f>
        <v/>
      </c>
      <c r="AJ40" s="35">
        <f>IF(AND(NOT(ISBLANK(D40)), AJ$10&gt;=D40, AJ$10&lt;=E40), "█", "")</f>
        <v/>
      </c>
      <c r="AK40" s="35">
        <f>IF(AND(NOT(ISBLANK(D40)), AK$10&gt;=D40, AK$10&lt;=E40), "█", "")</f>
        <v/>
      </c>
      <c r="AL40" s="35">
        <f>IF(AND(NOT(ISBLANK(D40)), AL$10&gt;=D40, AL$10&lt;=E40), "█", "")</f>
        <v/>
      </c>
      <c r="AM40" s="35">
        <f>IF(AND(NOT(ISBLANK(D40)), AM$10&gt;=D40, AM$10&lt;=E40), "█", "")</f>
        <v/>
      </c>
    </row>
    <row r="41">
      <c r="A41" s="36" t="inlineStr"/>
      <c r="B41" s="37" t="inlineStr"/>
      <c r="C41" s="22" t="inlineStr"/>
      <c r="D41" s="38" t="inlineStr"/>
      <c r="E41" s="38" t="inlineStr"/>
      <c r="F41" s="22">
        <f>IF(OR(ISBLANK(D41), ISBLANK(E41)), "", E41-D41+1)</f>
        <v/>
      </c>
      <c r="G41" s="39" t="inlineStr"/>
      <c r="H41" s="36">
        <f>IF(ISBLANK(B41), "", IF(G41=0, "Not Started", IF(G41=1, "Completed", "In Progress")))</f>
        <v/>
      </c>
      <c r="I41" s="34" t="n"/>
      <c r="J41" s="35">
        <f>IF(AND(NOT(ISBLANK(D41)), J$10&gt;=D41, J$10&lt;=E41), "█", "")</f>
        <v/>
      </c>
      <c r="K41" s="35">
        <f>IF(AND(NOT(ISBLANK(D41)), K$10&gt;=D41, K$10&lt;=E41), "█", "")</f>
        <v/>
      </c>
      <c r="L41" s="35">
        <f>IF(AND(NOT(ISBLANK(D41)), L$10&gt;=D41, L$10&lt;=E41), "█", "")</f>
        <v/>
      </c>
      <c r="M41" s="35">
        <f>IF(AND(NOT(ISBLANK(D41)), M$10&gt;=D41, M$10&lt;=E41), "█", "")</f>
        <v/>
      </c>
      <c r="N41" s="35">
        <f>IF(AND(NOT(ISBLANK(D41)), N$10&gt;=D41, N$10&lt;=E41), "█", "")</f>
        <v/>
      </c>
      <c r="O41" s="35">
        <f>IF(AND(NOT(ISBLANK(D41)), O$10&gt;=D41, O$10&lt;=E41), "█", "")</f>
        <v/>
      </c>
      <c r="P41" s="35">
        <f>IF(AND(NOT(ISBLANK(D41)), P$10&gt;=D41, P$10&lt;=E41), "█", "")</f>
        <v/>
      </c>
      <c r="Q41" s="35">
        <f>IF(AND(NOT(ISBLANK(D41)), Q$10&gt;=D41, Q$10&lt;=E41), "█", "")</f>
        <v/>
      </c>
      <c r="R41" s="35">
        <f>IF(AND(NOT(ISBLANK(D41)), R$10&gt;=D41, R$10&lt;=E41), "█", "")</f>
        <v/>
      </c>
      <c r="S41" s="35">
        <f>IF(AND(NOT(ISBLANK(D41)), S$10&gt;=D41, S$10&lt;=E41), "█", "")</f>
        <v/>
      </c>
      <c r="T41" s="35">
        <f>IF(AND(NOT(ISBLANK(D41)), T$10&gt;=D41, T$10&lt;=E41), "█", "")</f>
        <v/>
      </c>
      <c r="U41" s="35">
        <f>IF(AND(NOT(ISBLANK(D41)), U$10&gt;=D41, U$10&lt;=E41), "█", "")</f>
        <v/>
      </c>
      <c r="V41" s="35">
        <f>IF(AND(NOT(ISBLANK(D41)), V$10&gt;=D41, V$10&lt;=E41), "█", "")</f>
        <v/>
      </c>
      <c r="W41" s="35">
        <f>IF(AND(NOT(ISBLANK(D41)), W$10&gt;=D41, W$10&lt;=E41), "█", "")</f>
        <v/>
      </c>
      <c r="X41" s="35">
        <f>IF(AND(NOT(ISBLANK(D41)), X$10&gt;=D41, X$10&lt;=E41), "█", "")</f>
        <v/>
      </c>
      <c r="Y41" s="35">
        <f>IF(AND(NOT(ISBLANK(D41)), Y$10&gt;=D41, Y$10&lt;=E41), "█", "")</f>
        <v/>
      </c>
      <c r="Z41" s="35">
        <f>IF(AND(NOT(ISBLANK(D41)), Z$10&gt;=D41, Z$10&lt;=E41), "█", "")</f>
        <v/>
      </c>
      <c r="AA41" s="35">
        <f>IF(AND(NOT(ISBLANK(D41)), AA$10&gt;=D41, AA$10&lt;=E41), "█", "")</f>
        <v/>
      </c>
      <c r="AB41" s="35">
        <f>IF(AND(NOT(ISBLANK(D41)), AB$10&gt;=D41, AB$10&lt;=E41), "█", "")</f>
        <v/>
      </c>
      <c r="AC41" s="35">
        <f>IF(AND(NOT(ISBLANK(D41)), AC$10&gt;=D41, AC$10&lt;=E41), "█", "")</f>
        <v/>
      </c>
      <c r="AD41" s="35">
        <f>IF(AND(NOT(ISBLANK(D41)), AD$10&gt;=D41, AD$10&lt;=E41), "█", "")</f>
        <v/>
      </c>
      <c r="AE41" s="35">
        <f>IF(AND(NOT(ISBLANK(D41)), AE$10&gt;=D41, AE$10&lt;=E41), "█", "")</f>
        <v/>
      </c>
      <c r="AF41" s="35">
        <f>IF(AND(NOT(ISBLANK(D41)), AF$10&gt;=D41, AF$10&lt;=E41), "█", "")</f>
        <v/>
      </c>
      <c r="AG41" s="35">
        <f>IF(AND(NOT(ISBLANK(D41)), AG$10&gt;=D41, AG$10&lt;=E41), "█", "")</f>
        <v/>
      </c>
      <c r="AH41" s="35">
        <f>IF(AND(NOT(ISBLANK(D41)), AH$10&gt;=D41, AH$10&lt;=E41), "█", "")</f>
        <v/>
      </c>
      <c r="AI41" s="35">
        <f>IF(AND(NOT(ISBLANK(D41)), AI$10&gt;=D41, AI$10&lt;=E41), "█", "")</f>
        <v/>
      </c>
      <c r="AJ41" s="35">
        <f>IF(AND(NOT(ISBLANK(D41)), AJ$10&gt;=D41, AJ$10&lt;=E41), "█", "")</f>
        <v/>
      </c>
      <c r="AK41" s="35">
        <f>IF(AND(NOT(ISBLANK(D41)), AK$10&gt;=D41, AK$10&lt;=E41), "█", "")</f>
        <v/>
      </c>
      <c r="AL41" s="35">
        <f>IF(AND(NOT(ISBLANK(D41)), AL$10&gt;=D41, AL$10&lt;=E41), "█", "")</f>
        <v/>
      </c>
      <c r="AM41" s="35">
        <f>IF(AND(NOT(ISBLANK(D41)), AM$10&gt;=D41, AM$10&lt;=E41), "█", "")</f>
        <v/>
      </c>
    </row>
    <row r="42">
      <c r="A42" s="7" t="inlineStr"/>
      <c r="B42" s="8" t="inlineStr"/>
      <c r="C42" s="19" t="inlineStr"/>
      <c r="D42" s="32" t="inlineStr"/>
      <c r="E42" s="32" t="inlineStr"/>
      <c r="F42" s="19">
        <f>IF(OR(ISBLANK(D42), ISBLANK(E42)), "", E42-D42+1)</f>
        <v/>
      </c>
      <c r="G42" s="33" t="inlineStr"/>
      <c r="H42" s="7">
        <f>IF(ISBLANK(B42), "", IF(G42=0, "Not Started", IF(G42=1, "Completed", "In Progress")))</f>
        <v/>
      </c>
      <c r="I42" s="34" t="n"/>
      <c r="J42" s="35">
        <f>IF(AND(NOT(ISBLANK(D42)), J$10&gt;=D42, J$10&lt;=E42), "█", "")</f>
        <v/>
      </c>
      <c r="K42" s="35">
        <f>IF(AND(NOT(ISBLANK(D42)), K$10&gt;=D42, K$10&lt;=E42), "█", "")</f>
        <v/>
      </c>
      <c r="L42" s="35">
        <f>IF(AND(NOT(ISBLANK(D42)), L$10&gt;=D42, L$10&lt;=E42), "█", "")</f>
        <v/>
      </c>
      <c r="M42" s="35">
        <f>IF(AND(NOT(ISBLANK(D42)), M$10&gt;=D42, M$10&lt;=E42), "█", "")</f>
        <v/>
      </c>
      <c r="N42" s="35">
        <f>IF(AND(NOT(ISBLANK(D42)), N$10&gt;=D42, N$10&lt;=E42), "█", "")</f>
        <v/>
      </c>
      <c r="O42" s="35">
        <f>IF(AND(NOT(ISBLANK(D42)), O$10&gt;=D42, O$10&lt;=E42), "█", "")</f>
        <v/>
      </c>
      <c r="P42" s="35">
        <f>IF(AND(NOT(ISBLANK(D42)), P$10&gt;=D42, P$10&lt;=E42), "█", "")</f>
        <v/>
      </c>
      <c r="Q42" s="35">
        <f>IF(AND(NOT(ISBLANK(D42)), Q$10&gt;=D42, Q$10&lt;=E42), "█", "")</f>
        <v/>
      </c>
      <c r="R42" s="35">
        <f>IF(AND(NOT(ISBLANK(D42)), R$10&gt;=D42, R$10&lt;=E42), "█", "")</f>
        <v/>
      </c>
      <c r="S42" s="35">
        <f>IF(AND(NOT(ISBLANK(D42)), S$10&gt;=D42, S$10&lt;=E42), "█", "")</f>
        <v/>
      </c>
      <c r="T42" s="35">
        <f>IF(AND(NOT(ISBLANK(D42)), T$10&gt;=D42, T$10&lt;=E42), "█", "")</f>
        <v/>
      </c>
      <c r="U42" s="35">
        <f>IF(AND(NOT(ISBLANK(D42)), U$10&gt;=D42, U$10&lt;=E42), "█", "")</f>
        <v/>
      </c>
      <c r="V42" s="35">
        <f>IF(AND(NOT(ISBLANK(D42)), V$10&gt;=D42, V$10&lt;=E42), "█", "")</f>
        <v/>
      </c>
      <c r="W42" s="35">
        <f>IF(AND(NOT(ISBLANK(D42)), W$10&gt;=D42, W$10&lt;=E42), "█", "")</f>
        <v/>
      </c>
      <c r="X42" s="35">
        <f>IF(AND(NOT(ISBLANK(D42)), X$10&gt;=D42, X$10&lt;=E42), "█", "")</f>
        <v/>
      </c>
      <c r="Y42" s="35">
        <f>IF(AND(NOT(ISBLANK(D42)), Y$10&gt;=D42, Y$10&lt;=E42), "█", "")</f>
        <v/>
      </c>
      <c r="Z42" s="35">
        <f>IF(AND(NOT(ISBLANK(D42)), Z$10&gt;=D42, Z$10&lt;=E42), "█", "")</f>
        <v/>
      </c>
      <c r="AA42" s="35">
        <f>IF(AND(NOT(ISBLANK(D42)), AA$10&gt;=D42, AA$10&lt;=E42), "█", "")</f>
        <v/>
      </c>
      <c r="AB42" s="35">
        <f>IF(AND(NOT(ISBLANK(D42)), AB$10&gt;=D42, AB$10&lt;=E42), "█", "")</f>
        <v/>
      </c>
      <c r="AC42" s="35">
        <f>IF(AND(NOT(ISBLANK(D42)), AC$10&gt;=D42, AC$10&lt;=E42), "█", "")</f>
        <v/>
      </c>
      <c r="AD42" s="35">
        <f>IF(AND(NOT(ISBLANK(D42)), AD$10&gt;=D42, AD$10&lt;=E42), "█", "")</f>
        <v/>
      </c>
      <c r="AE42" s="35">
        <f>IF(AND(NOT(ISBLANK(D42)), AE$10&gt;=D42, AE$10&lt;=E42), "█", "")</f>
        <v/>
      </c>
      <c r="AF42" s="35">
        <f>IF(AND(NOT(ISBLANK(D42)), AF$10&gt;=D42, AF$10&lt;=E42), "█", "")</f>
        <v/>
      </c>
      <c r="AG42" s="35">
        <f>IF(AND(NOT(ISBLANK(D42)), AG$10&gt;=D42, AG$10&lt;=E42), "█", "")</f>
        <v/>
      </c>
      <c r="AH42" s="35">
        <f>IF(AND(NOT(ISBLANK(D42)), AH$10&gt;=D42, AH$10&lt;=E42), "█", "")</f>
        <v/>
      </c>
      <c r="AI42" s="35">
        <f>IF(AND(NOT(ISBLANK(D42)), AI$10&gt;=D42, AI$10&lt;=E42), "█", "")</f>
        <v/>
      </c>
      <c r="AJ42" s="35">
        <f>IF(AND(NOT(ISBLANK(D42)), AJ$10&gt;=D42, AJ$10&lt;=E42), "█", "")</f>
        <v/>
      </c>
      <c r="AK42" s="35">
        <f>IF(AND(NOT(ISBLANK(D42)), AK$10&gt;=D42, AK$10&lt;=E42), "█", "")</f>
        <v/>
      </c>
      <c r="AL42" s="35">
        <f>IF(AND(NOT(ISBLANK(D42)), AL$10&gt;=D42, AL$10&lt;=E42), "█", "")</f>
        <v/>
      </c>
      <c r="AM42" s="35">
        <f>IF(AND(NOT(ISBLANK(D42)), AM$10&gt;=D42, AM$10&lt;=E42), "█", "")</f>
        <v/>
      </c>
    </row>
    <row r="43">
      <c r="A43" s="36" t="inlineStr"/>
      <c r="B43" s="37" t="inlineStr"/>
      <c r="C43" s="22" t="inlineStr"/>
      <c r="D43" s="38" t="inlineStr"/>
      <c r="E43" s="38" t="inlineStr"/>
      <c r="F43" s="22">
        <f>IF(OR(ISBLANK(D43), ISBLANK(E43)), "", E43-D43+1)</f>
        <v/>
      </c>
      <c r="G43" s="39" t="inlineStr"/>
      <c r="H43" s="36">
        <f>IF(ISBLANK(B43), "", IF(G43=0, "Not Started", IF(G43=1, "Completed", "In Progress")))</f>
        <v/>
      </c>
      <c r="I43" s="34" t="n"/>
      <c r="J43" s="35">
        <f>IF(AND(NOT(ISBLANK(D43)), J$10&gt;=D43, J$10&lt;=E43), "█", "")</f>
        <v/>
      </c>
      <c r="K43" s="35">
        <f>IF(AND(NOT(ISBLANK(D43)), K$10&gt;=D43, K$10&lt;=E43), "█", "")</f>
        <v/>
      </c>
      <c r="L43" s="35">
        <f>IF(AND(NOT(ISBLANK(D43)), L$10&gt;=D43, L$10&lt;=E43), "█", "")</f>
        <v/>
      </c>
      <c r="M43" s="35">
        <f>IF(AND(NOT(ISBLANK(D43)), M$10&gt;=D43, M$10&lt;=E43), "█", "")</f>
        <v/>
      </c>
      <c r="N43" s="35">
        <f>IF(AND(NOT(ISBLANK(D43)), N$10&gt;=D43, N$10&lt;=E43), "█", "")</f>
        <v/>
      </c>
      <c r="O43" s="35">
        <f>IF(AND(NOT(ISBLANK(D43)), O$10&gt;=D43, O$10&lt;=E43), "█", "")</f>
        <v/>
      </c>
      <c r="P43" s="35">
        <f>IF(AND(NOT(ISBLANK(D43)), P$10&gt;=D43, P$10&lt;=E43), "█", "")</f>
        <v/>
      </c>
      <c r="Q43" s="35">
        <f>IF(AND(NOT(ISBLANK(D43)), Q$10&gt;=D43, Q$10&lt;=E43), "█", "")</f>
        <v/>
      </c>
      <c r="R43" s="35">
        <f>IF(AND(NOT(ISBLANK(D43)), R$10&gt;=D43, R$10&lt;=E43), "█", "")</f>
        <v/>
      </c>
      <c r="S43" s="35">
        <f>IF(AND(NOT(ISBLANK(D43)), S$10&gt;=D43, S$10&lt;=E43), "█", "")</f>
        <v/>
      </c>
      <c r="T43" s="35">
        <f>IF(AND(NOT(ISBLANK(D43)), T$10&gt;=D43, T$10&lt;=E43), "█", "")</f>
        <v/>
      </c>
      <c r="U43" s="35">
        <f>IF(AND(NOT(ISBLANK(D43)), U$10&gt;=D43, U$10&lt;=E43), "█", "")</f>
        <v/>
      </c>
      <c r="V43" s="35">
        <f>IF(AND(NOT(ISBLANK(D43)), V$10&gt;=D43, V$10&lt;=E43), "█", "")</f>
        <v/>
      </c>
      <c r="W43" s="35">
        <f>IF(AND(NOT(ISBLANK(D43)), W$10&gt;=D43, W$10&lt;=E43), "█", "")</f>
        <v/>
      </c>
      <c r="X43" s="35">
        <f>IF(AND(NOT(ISBLANK(D43)), X$10&gt;=D43, X$10&lt;=E43), "█", "")</f>
        <v/>
      </c>
      <c r="Y43" s="35">
        <f>IF(AND(NOT(ISBLANK(D43)), Y$10&gt;=D43, Y$10&lt;=E43), "█", "")</f>
        <v/>
      </c>
      <c r="Z43" s="35">
        <f>IF(AND(NOT(ISBLANK(D43)), Z$10&gt;=D43, Z$10&lt;=E43), "█", "")</f>
        <v/>
      </c>
      <c r="AA43" s="35">
        <f>IF(AND(NOT(ISBLANK(D43)), AA$10&gt;=D43, AA$10&lt;=E43), "█", "")</f>
        <v/>
      </c>
      <c r="AB43" s="35">
        <f>IF(AND(NOT(ISBLANK(D43)), AB$10&gt;=D43, AB$10&lt;=E43), "█", "")</f>
        <v/>
      </c>
      <c r="AC43" s="35">
        <f>IF(AND(NOT(ISBLANK(D43)), AC$10&gt;=D43, AC$10&lt;=E43), "█", "")</f>
        <v/>
      </c>
      <c r="AD43" s="35">
        <f>IF(AND(NOT(ISBLANK(D43)), AD$10&gt;=D43, AD$10&lt;=E43), "█", "")</f>
        <v/>
      </c>
      <c r="AE43" s="35">
        <f>IF(AND(NOT(ISBLANK(D43)), AE$10&gt;=D43, AE$10&lt;=E43), "█", "")</f>
        <v/>
      </c>
      <c r="AF43" s="35">
        <f>IF(AND(NOT(ISBLANK(D43)), AF$10&gt;=D43, AF$10&lt;=E43), "█", "")</f>
        <v/>
      </c>
      <c r="AG43" s="35">
        <f>IF(AND(NOT(ISBLANK(D43)), AG$10&gt;=D43, AG$10&lt;=E43), "█", "")</f>
        <v/>
      </c>
      <c r="AH43" s="35">
        <f>IF(AND(NOT(ISBLANK(D43)), AH$10&gt;=D43, AH$10&lt;=E43), "█", "")</f>
        <v/>
      </c>
      <c r="AI43" s="35">
        <f>IF(AND(NOT(ISBLANK(D43)), AI$10&gt;=D43, AI$10&lt;=E43), "█", "")</f>
        <v/>
      </c>
      <c r="AJ43" s="35">
        <f>IF(AND(NOT(ISBLANK(D43)), AJ$10&gt;=D43, AJ$10&lt;=E43), "█", "")</f>
        <v/>
      </c>
      <c r="AK43" s="35">
        <f>IF(AND(NOT(ISBLANK(D43)), AK$10&gt;=D43, AK$10&lt;=E43), "█", "")</f>
        <v/>
      </c>
      <c r="AL43" s="35">
        <f>IF(AND(NOT(ISBLANK(D43)), AL$10&gt;=D43, AL$10&lt;=E43), "█", "")</f>
        <v/>
      </c>
      <c r="AM43" s="35">
        <f>IF(AND(NOT(ISBLANK(D43)), AM$10&gt;=D43, AM$10&lt;=E43), "█", "")</f>
        <v/>
      </c>
    </row>
    <row r="44">
      <c r="A44" s="7" t="inlineStr"/>
      <c r="B44" s="8" t="inlineStr"/>
      <c r="C44" s="19" t="inlineStr"/>
      <c r="D44" s="32" t="inlineStr"/>
      <c r="E44" s="32" t="inlineStr"/>
      <c r="F44" s="19">
        <f>IF(OR(ISBLANK(D44), ISBLANK(E44)), "", E44-D44+1)</f>
        <v/>
      </c>
      <c r="G44" s="33" t="inlineStr"/>
      <c r="H44" s="7">
        <f>IF(ISBLANK(B44), "", IF(G44=0, "Not Started", IF(G44=1, "Completed", "In Progress")))</f>
        <v/>
      </c>
      <c r="I44" s="34" t="n"/>
      <c r="J44" s="35">
        <f>IF(AND(NOT(ISBLANK(D44)), J$10&gt;=D44, J$10&lt;=E44), "█", "")</f>
        <v/>
      </c>
      <c r="K44" s="35">
        <f>IF(AND(NOT(ISBLANK(D44)), K$10&gt;=D44, K$10&lt;=E44), "█", "")</f>
        <v/>
      </c>
      <c r="L44" s="35">
        <f>IF(AND(NOT(ISBLANK(D44)), L$10&gt;=D44, L$10&lt;=E44), "█", "")</f>
        <v/>
      </c>
      <c r="M44" s="35">
        <f>IF(AND(NOT(ISBLANK(D44)), M$10&gt;=D44, M$10&lt;=E44), "█", "")</f>
        <v/>
      </c>
      <c r="N44" s="35">
        <f>IF(AND(NOT(ISBLANK(D44)), N$10&gt;=D44, N$10&lt;=E44), "█", "")</f>
        <v/>
      </c>
      <c r="O44" s="35">
        <f>IF(AND(NOT(ISBLANK(D44)), O$10&gt;=D44, O$10&lt;=E44), "█", "")</f>
        <v/>
      </c>
      <c r="P44" s="35">
        <f>IF(AND(NOT(ISBLANK(D44)), P$10&gt;=D44, P$10&lt;=E44), "█", "")</f>
        <v/>
      </c>
      <c r="Q44" s="35">
        <f>IF(AND(NOT(ISBLANK(D44)), Q$10&gt;=D44, Q$10&lt;=E44), "█", "")</f>
        <v/>
      </c>
      <c r="R44" s="35">
        <f>IF(AND(NOT(ISBLANK(D44)), R$10&gt;=D44, R$10&lt;=E44), "█", "")</f>
        <v/>
      </c>
      <c r="S44" s="35">
        <f>IF(AND(NOT(ISBLANK(D44)), S$10&gt;=D44, S$10&lt;=E44), "█", "")</f>
        <v/>
      </c>
      <c r="T44" s="35">
        <f>IF(AND(NOT(ISBLANK(D44)), T$10&gt;=D44, T$10&lt;=E44), "█", "")</f>
        <v/>
      </c>
      <c r="U44" s="35">
        <f>IF(AND(NOT(ISBLANK(D44)), U$10&gt;=D44, U$10&lt;=E44), "█", "")</f>
        <v/>
      </c>
      <c r="V44" s="35">
        <f>IF(AND(NOT(ISBLANK(D44)), V$10&gt;=D44, V$10&lt;=E44), "█", "")</f>
        <v/>
      </c>
      <c r="W44" s="35">
        <f>IF(AND(NOT(ISBLANK(D44)), W$10&gt;=D44, W$10&lt;=E44), "█", "")</f>
        <v/>
      </c>
      <c r="X44" s="35">
        <f>IF(AND(NOT(ISBLANK(D44)), X$10&gt;=D44, X$10&lt;=E44), "█", "")</f>
        <v/>
      </c>
      <c r="Y44" s="35">
        <f>IF(AND(NOT(ISBLANK(D44)), Y$10&gt;=D44, Y$10&lt;=E44), "█", "")</f>
        <v/>
      </c>
      <c r="Z44" s="35">
        <f>IF(AND(NOT(ISBLANK(D44)), Z$10&gt;=D44, Z$10&lt;=E44), "█", "")</f>
        <v/>
      </c>
      <c r="AA44" s="35">
        <f>IF(AND(NOT(ISBLANK(D44)), AA$10&gt;=D44, AA$10&lt;=E44), "█", "")</f>
        <v/>
      </c>
      <c r="AB44" s="35">
        <f>IF(AND(NOT(ISBLANK(D44)), AB$10&gt;=D44, AB$10&lt;=E44), "█", "")</f>
        <v/>
      </c>
      <c r="AC44" s="35">
        <f>IF(AND(NOT(ISBLANK(D44)), AC$10&gt;=D44, AC$10&lt;=E44), "█", "")</f>
        <v/>
      </c>
      <c r="AD44" s="35">
        <f>IF(AND(NOT(ISBLANK(D44)), AD$10&gt;=D44, AD$10&lt;=E44), "█", "")</f>
        <v/>
      </c>
      <c r="AE44" s="35">
        <f>IF(AND(NOT(ISBLANK(D44)), AE$10&gt;=D44, AE$10&lt;=E44), "█", "")</f>
        <v/>
      </c>
      <c r="AF44" s="35">
        <f>IF(AND(NOT(ISBLANK(D44)), AF$10&gt;=D44, AF$10&lt;=E44), "█", "")</f>
        <v/>
      </c>
      <c r="AG44" s="35">
        <f>IF(AND(NOT(ISBLANK(D44)), AG$10&gt;=D44, AG$10&lt;=E44), "█", "")</f>
        <v/>
      </c>
      <c r="AH44" s="35">
        <f>IF(AND(NOT(ISBLANK(D44)), AH$10&gt;=D44, AH$10&lt;=E44), "█", "")</f>
        <v/>
      </c>
      <c r="AI44" s="35">
        <f>IF(AND(NOT(ISBLANK(D44)), AI$10&gt;=D44, AI$10&lt;=E44), "█", "")</f>
        <v/>
      </c>
      <c r="AJ44" s="35">
        <f>IF(AND(NOT(ISBLANK(D44)), AJ$10&gt;=D44, AJ$10&lt;=E44), "█", "")</f>
        <v/>
      </c>
      <c r="AK44" s="35">
        <f>IF(AND(NOT(ISBLANK(D44)), AK$10&gt;=D44, AK$10&lt;=E44), "█", "")</f>
        <v/>
      </c>
      <c r="AL44" s="35">
        <f>IF(AND(NOT(ISBLANK(D44)), AL$10&gt;=D44, AL$10&lt;=E44), "█", "")</f>
        <v/>
      </c>
      <c r="AM44" s="35">
        <f>IF(AND(NOT(ISBLANK(D44)), AM$10&gt;=D44, AM$10&lt;=E44), "█", "")</f>
        <v/>
      </c>
    </row>
    <row r="45">
      <c r="A45" s="36" t="inlineStr"/>
      <c r="B45" s="37" t="inlineStr"/>
      <c r="C45" s="22" t="inlineStr"/>
      <c r="D45" s="38" t="inlineStr"/>
      <c r="E45" s="38" t="inlineStr"/>
      <c r="F45" s="22">
        <f>IF(OR(ISBLANK(D45), ISBLANK(E45)), "", E45-D45+1)</f>
        <v/>
      </c>
      <c r="G45" s="39" t="inlineStr"/>
      <c r="H45" s="36">
        <f>IF(ISBLANK(B45), "", IF(G45=0, "Not Started", IF(G45=1, "Completed", "In Progress")))</f>
        <v/>
      </c>
      <c r="I45" s="34" t="n"/>
      <c r="J45" s="35">
        <f>IF(AND(NOT(ISBLANK(D45)), J$10&gt;=D45, J$10&lt;=E45), "█", "")</f>
        <v/>
      </c>
      <c r="K45" s="35">
        <f>IF(AND(NOT(ISBLANK(D45)), K$10&gt;=D45, K$10&lt;=E45), "█", "")</f>
        <v/>
      </c>
      <c r="L45" s="35">
        <f>IF(AND(NOT(ISBLANK(D45)), L$10&gt;=D45, L$10&lt;=E45), "█", "")</f>
        <v/>
      </c>
      <c r="M45" s="35">
        <f>IF(AND(NOT(ISBLANK(D45)), M$10&gt;=D45, M$10&lt;=E45), "█", "")</f>
        <v/>
      </c>
      <c r="N45" s="35">
        <f>IF(AND(NOT(ISBLANK(D45)), N$10&gt;=D45, N$10&lt;=E45), "█", "")</f>
        <v/>
      </c>
      <c r="O45" s="35">
        <f>IF(AND(NOT(ISBLANK(D45)), O$10&gt;=D45, O$10&lt;=E45), "█", "")</f>
        <v/>
      </c>
      <c r="P45" s="35">
        <f>IF(AND(NOT(ISBLANK(D45)), P$10&gt;=D45, P$10&lt;=E45), "█", "")</f>
        <v/>
      </c>
      <c r="Q45" s="35">
        <f>IF(AND(NOT(ISBLANK(D45)), Q$10&gt;=D45, Q$10&lt;=E45), "█", "")</f>
        <v/>
      </c>
      <c r="R45" s="35">
        <f>IF(AND(NOT(ISBLANK(D45)), R$10&gt;=D45, R$10&lt;=E45), "█", "")</f>
        <v/>
      </c>
      <c r="S45" s="35">
        <f>IF(AND(NOT(ISBLANK(D45)), S$10&gt;=D45, S$10&lt;=E45), "█", "")</f>
        <v/>
      </c>
      <c r="T45" s="35">
        <f>IF(AND(NOT(ISBLANK(D45)), T$10&gt;=D45, T$10&lt;=E45), "█", "")</f>
        <v/>
      </c>
      <c r="U45" s="35">
        <f>IF(AND(NOT(ISBLANK(D45)), U$10&gt;=D45, U$10&lt;=E45), "█", "")</f>
        <v/>
      </c>
      <c r="V45" s="35">
        <f>IF(AND(NOT(ISBLANK(D45)), V$10&gt;=D45, V$10&lt;=E45), "█", "")</f>
        <v/>
      </c>
      <c r="W45" s="35">
        <f>IF(AND(NOT(ISBLANK(D45)), W$10&gt;=D45, W$10&lt;=E45), "█", "")</f>
        <v/>
      </c>
      <c r="X45" s="35">
        <f>IF(AND(NOT(ISBLANK(D45)), X$10&gt;=D45, X$10&lt;=E45), "█", "")</f>
        <v/>
      </c>
      <c r="Y45" s="35">
        <f>IF(AND(NOT(ISBLANK(D45)), Y$10&gt;=D45, Y$10&lt;=E45), "█", "")</f>
        <v/>
      </c>
      <c r="Z45" s="35">
        <f>IF(AND(NOT(ISBLANK(D45)), Z$10&gt;=D45, Z$10&lt;=E45), "█", "")</f>
        <v/>
      </c>
      <c r="AA45" s="35">
        <f>IF(AND(NOT(ISBLANK(D45)), AA$10&gt;=D45, AA$10&lt;=E45), "█", "")</f>
        <v/>
      </c>
      <c r="AB45" s="35">
        <f>IF(AND(NOT(ISBLANK(D45)), AB$10&gt;=D45, AB$10&lt;=E45), "█", "")</f>
        <v/>
      </c>
      <c r="AC45" s="35">
        <f>IF(AND(NOT(ISBLANK(D45)), AC$10&gt;=D45, AC$10&lt;=E45), "█", "")</f>
        <v/>
      </c>
      <c r="AD45" s="35">
        <f>IF(AND(NOT(ISBLANK(D45)), AD$10&gt;=D45, AD$10&lt;=E45), "█", "")</f>
        <v/>
      </c>
      <c r="AE45" s="35">
        <f>IF(AND(NOT(ISBLANK(D45)), AE$10&gt;=D45, AE$10&lt;=E45), "█", "")</f>
        <v/>
      </c>
      <c r="AF45" s="35">
        <f>IF(AND(NOT(ISBLANK(D45)), AF$10&gt;=D45, AF$10&lt;=E45), "█", "")</f>
        <v/>
      </c>
      <c r="AG45" s="35">
        <f>IF(AND(NOT(ISBLANK(D45)), AG$10&gt;=D45, AG$10&lt;=E45), "█", "")</f>
        <v/>
      </c>
      <c r="AH45" s="35">
        <f>IF(AND(NOT(ISBLANK(D45)), AH$10&gt;=D45, AH$10&lt;=E45), "█", "")</f>
        <v/>
      </c>
      <c r="AI45" s="35">
        <f>IF(AND(NOT(ISBLANK(D45)), AI$10&gt;=D45, AI$10&lt;=E45), "█", "")</f>
        <v/>
      </c>
      <c r="AJ45" s="35">
        <f>IF(AND(NOT(ISBLANK(D45)), AJ$10&gt;=D45, AJ$10&lt;=E45), "█", "")</f>
        <v/>
      </c>
      <c r="AK45" s="35">
        <f>IF(AND(NOT(ISBLANK(D45)), AK$10&gt;=D45, AK$10&lt;=E45), "█", "")</f>
        <v/>
      </c>
      <c r="AL45" s="35">
        <f>IF(AND(NOT(ISBLANK(D45)), AL$10&gt;=D45, AL$10&lt;=E45), "█", "")</f>
        <v/>
      </c>
      <c r="AM45" s="35">
        <f>IF(AND(NOT(ISBLANK(D45)), AM$10&gt;=D45, AM$10&lt;=E45), "█", "")</f>
        <v/>
      </c>
    </row>
    <row r="46">
      <c r="A46" s="7" t="inlineStr"/>
      <c r="B46" s="8" t="inlineStr"/>
      <c r="C46" s="19" t="inlineStr"/>
      <c r="D46" s="32" t="inlineStr"/>
      <c r="E46" s="32" t="inlineStr"/>
      <c r="F46" s="19">
        <f>IF(OR(ISBLANK(D46), ISBLANK(E46)), "", E46-D46+1)</f>
        <v/>
      </c>
      <c r="G46" s="33" t="inlineStr"/>
      <c r="H46" s="7">
        <f>IF(ISBLANK(B46), "", IF(G46=0, "Not Started", IF(G46=1, "Completed", "In Progress")))</f>
        <v/>
      </c>
      <c r="I46" s="34" t="n"/>
      <c r="J46" s="35">
        <f>IF(AND(NOT(ISBLANK(D46)), J$10&gt;=D46, J$10&lt;=E46), "█", "")</f>
        <v/>
      </c>
      <c r="K46" s="35">
        <f>IF(AND(NOT(ISBLANK(D46)), K$10&gt;=D46, K$10&lt;=E46), "█", "")</f>
        <v/>
      </c>
      <c r="L46" s="35">
        <f>IF(AND(NOT(ISBLANK(D46)), L$10&gt;=D46, L$10&lt;=E46), "█", "")</f>
        <v/>
      </c>
      <c r="M46" s="35">
        <f>IF(AND(NOT(ISBLANK(D46)), M$10&gt;=D46, M$10&lt;=E46), "█", "")</f>
        <v/>
      </c>
      <c r="N46" s="35">
        <f>IF(AND(NOT(ISBLANK(D46)), N$10&gt;=D46, N$10&lt;=E46), "█", "")</f>
        <v/>
      </c>
      <c r="O46" s="35">
        <f>IF(AND(NOT(ISBLANK(D46)), O$10&gt;=D46, O$10&lt;=E46), "█", "")</f>
        <v/>
      </c>
      <c r="P46" s="35">
        <f>IF(AND(NOT(ISBLANK(D46)), P$10&gt;=D46, P$10&lt;=E46), "█", "")</f>
        <v/>
      </c>
      <c r="Q46" s="35">
        <f>IF(AND(NOT(ISBLANK(D46)), Q$10&gt;=D46, Q$10&lt;=E46), "█", "")</f>
        <v/>
      </c>
      <c r="R46" s="35">
        <f>IF(AND(NOT(ISBLANK(D46)), R$10&gt;=D46, R$10&lt;=E46), "█", "")</f>
        <v/>
      </c>
      <c r="S46" s="35">
        <f>IF(AND(NOT(ISBLANK(D46)), S$10&gt;=D46, S$10&lt;=E46), "█", "")</f>
        <v/>
      </c>
      <c r="T46" s="35">
        <f>IF(AND(NOT(ISBLANK(D46)), T$10&gt;=D46, T$10&lt;=E46), "█", "")</f>
        <v/>
      </c>
      <c r="U46" s="35">
        <f>IF(AND(NOT(ISBLANK(D46)), U$10&gt;=D46, U$10&lt;=E46), "█", "")</f>
        <v/>
      </c>
      <c r="V46" s="35">
        <f>IF(AND(NOT(ISBLANK(D46)), V$10&gt;=D46, V$10&lt;=E46), "█", "")</f>
        <v/>
      </c>
      <c r="W46" s="35">
        <f>IF(AND(NOT(ISBLANK(D46)), W$10&gt;=D46, W$10&lt;=E46), "█", "")</f>
        <v/>
      </c>
      <c r="X46" s="35">
        <f>IF(AND(NOT(ISBLANK(D46)), X$10&gt;=D46, X$10&lt;=E46), "█", "")</f>
        <v/>
      </c>
      <c r="Y46" s="35">
        <f>IF(AND(NOT(ISBLANK(D46)), Y$10&gt;=D46, Y$10&lt;=E46), "█", "")</f>
        <v/>
      </c>
      <c r="Z46" s="35">
        <f>IF(AND(NOT(ISBLANK(D46)), Z$10&gt;=D46, Z$10&lt;=E46), "█", "")</f>
        <v/>
      </c>
      <c r="AA46" s="35">
        <f>IF(AND(NOT(ISBLANK(D46)), AA$10&gt;=D46, AA$10&lt;=E46), "█", "")</f>
        <v/>
      </c>
      <c r="AB46" s="35">
        <f>IF(AND(NOT(ISBLANK(D46)), AB$10&gt;=D46, AB$10&lt;=E46), "█", "")</f>
        <v/>
      </c>
      <c r="AC46" s="35">
        <f>IF(AND(NOT(ISBLANK(D46)), AC$10&gt;=D46, AC$10&lt;=E46), "█", "")</f>
        <v/>
      </c>
      <c r="AD46" s="35">
        <f>IF(AND(NOT(ISBLANK(D46)), AD$10&gt;=D46, AD$10&lt;=E46), "█", "")</f>
        <v/>
      </c>
      <c r="AE46" s="35">
        <f>IF(AND(NOT(ISBLANK(D46)), AE$10&gt;=D46, AE$10&lt;=E46), "█", "")</f>
        <v/>
      </c>
      <c r="AF46" s="35">
        <f>IF(AND(NOT(ISBLANK(D46)), AF$10&gt;=D46, AF$10&lt;=E46), "█", "")</f>
        <v/>
      </c>
      <c r="AG46" s="35">
        <f>IF(AND(NOT(ISBLANK(D46)), AG$10&gt;=D46, AG$10&lt;=E46), "█", "")</f>
        <v/>
      </c>
      <c r="AH46" s="35">
        <f>IF(AND(NOT(ISBLANK(D46)), AH$10&gt;=D46, AH$10&lt;=E46), "█", "")</f>
        <v/>
      </c>
      <c r="AI46" s="35">
        <f>IF(AND(NOT(ISBLANK(D46)), AI$10&gt;=D46, AI$10&lt;=E46), "█", "")</f>
        <v/>
      </c>
      <c r="AJ46" s="35">
        <f>IF(AND(NOT(ISBLANK(D46)), AJ$10&gt;=D46, AJ$10&lt;=E46), "█", "")</f>
        <v/>
      </c>
      <c r="AK46" s="35">
        <f>IF(AND(NOT(ISBLANK(D46)), AK$10&gt;=D46, AK$10&lt;=E46), "█", "")</f>
        <v/>
      </c>
      <c r="AL46" s="35">
        <f>IF(AND(NOT(ISBLANK(D46)), AL$10&gt;=D46, AL$10&lt;=E46), "█", "")</f>
        <v/>
      </c>
      <c r="AM46" s="35">
        <f>IF(AND(NOT(ISBLANK(D46)), AM$10&gt;=D46, AM$10&lt;=E46), "█", "")</f>
        <v/>
      </c>
    </row>
    <row r="47">
      <c r="A47" s="36" t="inlineStr"/>
      <c r="B47" s="37" t="inlineStr"/>
      <c r="C47" s="22" t="inlineStr"/>
      <c r="D47" s="38" t="inlineStr"/>
      <c r="E47" s="38" t="inlineStr"/>
      <c r="F47" s="22">
        <f>IF(OR(ISBLANK(D47), ISBLANK(E47)), "", E47-D47+1)</f>
        <v/>
      </c>
      <c r="G47" s="39" t="inlineStr"/>
      <c r="H47" s="36">
        <f>IF(ISBLANK(B47), "", IF(G47=0, "Not Started", IF(G47=1, "Completed", "In Progress")))</f>
        <v/>
      </c>
      <c r="I47" s="34" t="n"/>
      <c r="J47" s="35">
        <f>IF(AND(NOT(ISBLANK(D47)), J$10&gt;=D47, J$10&lt;=E47), "█", "")</f>
        <v/>
      </c>
      <c r="K47" s="35">
        <f>IF(AND(NOT(ISBLANK(D47)), K$10&gt;=D47, K$10&lt;=E47), "█", "")</f>
        <v/>
      </c>
      <c r="L47" s="35">
        <f>IF(AND(NOT(ISBLANK(D47)), L$10&gt;=D47, L$10&lt;=E47), "█", "")</f>
        <v/>
      </c>
      <c r="M47" s="35">
        <f>IF(AND(NOT(ISBLANK(D47)), M$10&gt;=D47, M$10&lt;=E47), "█", "")</f>
        <v/>
      </c>
      <c r="N47" s="35">
        <f>IF(AND(NOT(ISBLANK(D47)), N$10&gt;=D47, N$10&lt;=E47), "█", "")</f>
        <v/>
      </c>
      <c r="O47" s="35">
        <f>IF(AND(NOT(ISBLANK(D47)), O$10&gt;=D47, O$10&lt;=E47), "█", "")</f>
        <v/>
      </c>
      <c r="P47" s="35">
        <f>IF(AND(NOT(ISBLANK(D47)), P$10&gt;=D47, P$10&lt;=E47), "█", "")</f>
        <v/>
      </c>
      <c r="Q47" s="35">
        <f>IF(AND(NOT(ISBLANK(D47)), Q$10&gt;=D47, Q$10&lt;=E47), "█", "")</f>
        <v/>
      </c>
      <c r="R47" s="35">
        <f>IF(AND(NOT(ISBLANK(D47)), R$10&gt;=D47, R$10&lt;=E47), "█", "")</f>
        <v/>
      </c>
      <c r="S47" s="35">
        <f>IF(AND(NOT(ISBLANK(D47)), S$10&gt;=D47, S$10&lt;=E47), "█", "")</f>
        <v/>
      </c>
      <c r="T47" s="35">
        <f>IF(AND(NOT(ISBLANK(D47)), T$10&gt;=D47, T$10&lt;=E47), "█", "")</f>
        <v/>
      </c>
      <c r="U47" s="35">
        <f>IF(AND(NOT(ISBLANK(D47)), U$10&gt;=D47, U$10&lt;=E47), "█", "")</f>
        <v/>
      </c>
      <c r="V47" s="35">
        <f>IF(AND(NOT(ISBLANK(D47)), V$10&gt;=D47, V$10&lt;=E47), "█", "")</f>
        <v/>
      </c>
      <c r="W47" s="35">
        <f>IF(AND(NOT(ISBLANK(D47)), W$10&gt;=D47, W$10&lt;=E47), "█", "")</f>
        <v/>
      </c>
      <c r="X47" s="35">
        <f>IF(AND(NOT(ISBLANK(D47)), X$10&gt;=D47, X$10&lt;=E47), "█", "")</f>
        <v/>
      </c>
      <c r="Y47" s="35">
        <f>IF(AND(NOT(ISBLANK(D47)), Y$10&gt;=D47, Y$10&lt;=E47), "█", "")</f>
        <v/>
      </c>
      <c r="Z47" s="35">
        <f>IF(AND(NOT(ISBLANK(D47)), Z$10&gt;=D47, Z$10&lt;=E47), "█", "")</f>
        <v/>
      </c>
      <c r="AA47" s="35">
        <f>IF(AND(NOT(ISBLANK(D47)), AA$10&gt;=D47, AA$10&lt;=E47), "█", "")</f>
        <v/>
      </c>
      <c r="AB47" s="35">
        <f>IF(AND(NOT(ISBLANK(D47)), AB$10&gt;=D47, AB$10&lt;=E47), "█", "")</f>
        <v/>
      </c>
      <c r="AC47" s="35">
        <f>IF(AND(NOT(ISBLANK(D47)), AC$10&gt;=D47, AC$10&lt;=E47), "█", "")</f>
        <v/>
      </c>
      <c r="AD47" s="35">
        <f>IF(AND(NOT(ISBLANK(D47)), AD$10&gt;=D47, AD$10&lt;=E47), "█", "")</f>
        <v/>
      </c>
      <c r="AE47" s="35">
        <f>IF(AND(NOT(ISBLANK(D47)), AE$10&gt;=D47, AE$10&lt;=E47), "█", "")</f>
        <v/>
      </c>
      <c r="AF47" s="35">
        <f>IF(AND(NOT(ISBLANK(D47)), AF$10&gt;=D47, AF$10&lt;=E47), "█", "")</f>
        <v/>
      </c>
      <c r="AG47" s="35">
        <f>IF(AND(NOT(ISBLANK(D47)), AG$10&gt;=D47, AG$10&lt;=E47), "█", "")</f>
        <v/>
      </c>
      <c r="AH47" s="35">
        <f>IF(AND(NOT(ISBLANK(D47)), AH$10&gt;=D47, AH$10&lt;=E47), "█", "")</f>
        <v/>
      </c>
      <c r="AI47" s="35">
        <f>IF(AND(NOT(ISBLANK(D47)), AI$10&gt;=D47, AI$10&lt;=E47), "█", "")</f>
        <v/>
      </c>
      <c r="AJ47" s="35">
        <f>IF(AND(NOT(ISBLANK(D47)), AJ$10&gt;=D47, AJ$10&lt;=E47), "█", "")</f>
        <v/>
      </c>
      <c r="AK47" s="35">
        <f>IF(AND(NOT(ISBLANK(D47)), AK$10&gt;=D47, AK$10&lt;=E47), "█", "")</f>
        <v/>
      </c>
      <c r="AL47" s="35">
        <f>IF(AND(NOT(ISBLANK(D47)), AL$10&gt;=D47, AL$10&lt;=E47), "█", "")</f>
        <v/>
      </c>
      <c r="AM47" s="35">
        <f>IF(AND(NOT(ISBLANK(D47)), AM$10&gt;=D47, AM$10&lt;=E47), "█", "")</f>
        <v/>
      </c>
    </row>
    <row r="48">
      <c r="A48" s="7" t="inlineStr"/>
      <c r="B48" s="8" t="inlineStr"/>
      <c r="C48" s="19" t="inlineStr"/>
      <c r="D48" s="32" t="inlineStr"/>
      <c r="E48" s="32" t="inlineStr"/>
      <c r="F48" s="19">
        <f>IF(OR(ISBLANK(D48), ISBLANK(E48)), "", E48-D48+1)</f>
        <v/>
      </c>
      <c r="G48" s="33" t="inlineStr"/>
      <c r="H48" s="7">
        <f>IF(ISBLANK(B48), "", IF(G48=0, "Not Started", IF(G48=1, "Completed", "In Progress")))</f>
        <v/>
      </c>
      <c r="I48" s="34" t="n"/>
      <c r="J48" s="35">
        <f>IF(AND(NOT(ISBLANK(D48)), J$10&gt;=D48, J$10&lt;=E48), "█", "")</f>
        <v/>
      </c>
      <c r="K48" s="35">
        <f>IF(AND(NOT(ISBLANK(D48)), K$10&gt;=D48, K$10&lt;=E48), "█", "")</f>
        <v/>
      </c>
      <c r="L48" s="35">
        <f>IF(AND(NOT(ISBLANK(D48)), L$10&gt;=D48, L$10&lt;=E48), "█", "")</f>
        <v/>
      </c>
      <c r="M48" s="35">
        <f>IF(AND(NOT(ISBLANK(D48)), M$10&gt;=D48, M$10&lt;=E48), "█", "")</f>
        <v/>
      </c>
      <c r="N48" s="35">
        <f>IF(AND(NOT(ISBLANK(D48)), N$10&gt;=D48, N$10&lt;=E48), "█", "")</f>
        <v/>
      </c>
      <c r="O48" s="35">
        <f>IF(AND(NOT(ISBLANK(D48)), O$10&gt;=D48, O$10&lt;=E48), "█", "")</f>
        <v/>
      </c>
      <c r="P48" s="35">
        <f>IF(AND(NOT(ISBLANK(D48)), P$10&gt;=D48, P$10&lt;=E48), "█", "")</f>
        <v/>
      </c>
      <c r="Q48" s="35">
        <f>IF(AND(NOT(ISBLANK(D48)), Q$10&gt;=D48, Q$10&lt;=E48), "█", "")</f>
        <v/>
      </c>
      <c r="R48" s="35">
        <f>IF(AND(NOT(ISBLANK(D48)), R$10&gt;=D48, R$10&lt;=E48), "█", "")</f>
        <v/>
      </c>
      <c r="S48" s="35">
        <f>IF(AND(NOT(ISBLANK(D48)), S$10&gt;=D48, S$10&lt;=E48), "█", "")</f>
        <v/>
      </c>
      <c r="T48" s="35">
        <f>IF(AND(NOT(ISBLANK(D48)), T$10&gt;=D48, T$10&lt;=E48), "█", "")</f>
        <v/>
      </c>
      <c r="U48" s="35">
        <f>IF(AND(NOT(ISBLANK(D48)), U$10&gt;=D48, U$10&lt;=E48), "█", "")</f>
        <v/>
      </c>
      <c r="V48" s="35">
        <f>IF(AND(NOT(ISBLANK(D48)), V$10&gt;=D48, V$10&lt;=E48), "█", "")</f>
        <v/>
      </c>
      <c r="W48" s="35">
        <f>IF(AND(NOT(ISBLANK(D48)), W$10&gt;=D48, W$10&lt;=E48), "█", "")</f>
        <v/>
      </c>
      <c r="X48" s="35">
        <f>IF(AND(NOT(ISBLANK(D48)), X$10&gt;=D48, X$10&lt;=E48), "█", "")</f>
        <v/>
      </c>
      <c r="Y48" s="35">
        <f>IF(AND(NOT(ISBLANK(D48)), Y$10&gt;=D48, Y$10&lt;=E48), "█", "")</f>
        <v/>
      </c>
      <c r="Z48" s="35">
        <f>IF(AND(NOT(ISBLANK(D48)), Z$10&gt;=D48, Z$10&lt;=E48), "█", "")</f>
        <v/>
      </c>
      <c r="AA48" s="35">
        <f>IF(AND(NOT(ISBLANK(D48)), AA$10&gt;=D48, AA$10&lt;=E48), "█", "")</f>
        <v/>
      </c>
      <c r="AB48" s="35">
        <f>IF(AND(NOT(ISBLANK(D48)), AB$10&gt;=D48, AB$10&lt;=E48), "█", "")</f>
        <v/>
      </c>
      <c r="AC48" s="35">
        <f>IF(AND(NOT(ISBLANK(D48)), AC$10&gt;=D48, AC$10&lt;=E48), "█", "")</f>
        <v/>
      </c>
      <c r="AD48" s="35">
        <f>IF(AND(NOT(ISBLANK(D48)), AD$10&gt;=D48, AD$10&lt;=E48), "█", "")</f>
        <v/>
      </c>
      <c r="AE48" s="35">
        <f>IF(AND(NOT(ISBLANK(D48)), AE$10&gt;=D48, AE$10&lt;=E48), "█", "")</f>
        <v/>
      </c>
      <c r="AF48" s="35">
        <f>IF(AND(NOT(ISBLANK(D48)), AF$10&gt;=D48, AF$10&lt;=E48), "█", "")</f>
        <v/>
      </c>
      <c r="AG48" s="35">
        <f>IF(AND(NOT(ISBLANK(D48)), AG$10&gt;=D48, AG$10&lt;=E48), "█", "")</f>
        <v/>
      </c>
      <c r="AH48" s="35">
        <f>IF(AND(NOT(ISBLANK(D48)), AH$10&gt;=D48, AH$10&lt;=E48), "█", "")</f>
        <v/>
      </c>
      <c r="AI48" s="35">
        <f>IF(AND(NOT(ISBLANK(D48)), AI$10&gt;=D48, AI$10&lt;=E48), "█", "")</f>
        <v/>
      </c>
      <c r="AJ48" s="35">
        <f>IF(AND(NOT(ISBLANK(D48)), AJ$10&gt;=D48, AJ$10&lt;=E48), "█", "")</f>
        <v/>
      </c>
      <c r="AK48" s="35">
        <f>IF(AND(NOT(ISBLANK(D48)), AK$10&gt;=D48, AK$10&lt;=E48), "█", "")</f>
        <v/>
      </c>
      <c r="AL48" s="35">
        <f>IF(AND(NOT(ISBLANK(D48)), AL$10&gt;=D48, AL$10&lt;=E48), "█", "")</f>
        <v/>
      </c>
      <c r="AM48" s="35">
        <f>IF(AND(NOT(ISBLANK(D48)), AM$10&gt;=D48, AM$10&lt;=E48), "█", "")</f>
        <v/>
      </c>
    </row>
    <row r="49">
      <c r="A49" s="36" t="inlineStr"/>
      <c r="B49" s="37" t="inlineStr"/>
      <c r="C49" s="22" t="inlineStr"/>
      <c r="D49" s="38" t="inlineStr"/>
      <c r="E49" s="38" t="inlineStr"/>
      <c r="F49" s="22">
        <f>IF(OR(ISBLANK(D49), ISBLANK(E49)), "", E49-D49+1)</f>
        <v/>
      </c>
      <c r="G49" s="39" t="inlineStr"/>
      <c r="H49" s="36">
        <f>IF(ISBLANK(B49), "", IF(G49=0, "Not Started", IF(G49=1, "Completed", "In Progress")))</f>
        <v/>
      </c>
      <c r="I49" s="34" t="n"/>
      <c r="J49" s="35">
        <f>IF(AND(NOT(ISBLANK(D49)), J$10&gt;=D49, J$10&lt;=E49), "█", "")</f>
        <v/>
      </c>
      <c r="K49" s="35">
        <f>IF(AND(NOT(ISBLANK(D49)), K$10&gt;=D49, K$10&lt;=E49), "█", "")</f>
        <v/>
      </c>
      <c r="L49" s="35">
        <f>IF(AND(NOT(ISBLANK(D49)), L$10&gt;=D49, L$10&lt;=E49), "█", "")</f>
        <v/>
      </c>
      <c r="M49" s="35">
        <f>IF(AND(NOT(ISBLANK(D49)), M$10&gt;=D49, M$10&lt;=E49), "█", "")</f>
        <v/>
      </c>
      <c r="N49" s="35">
        <f>IF(AND(NOT(ISBLANK(D49)), N$10&gt;=D49, N$10&lt;=E49), "█", "")</f>
        <v/>
      </c>
      <c r="O49" s="35">
        <f>IF(AND(NOT(ISBLANK(D49)), O$10&gt;=D49, O$10&lt;=E49), "█", "")</f>
        <v/>
      </c>
      <c r="P49" s="35">
        <f>IF(AND(NOT(ISBLANK(D49)), P$10&gt;=D49, P$10&lt;=E49), "█", "")</f>
        <v/>
      </c>
      <c r="Q49" s="35">
        <f>IF(AND(NOT(ISBLANK(D49)), Q$10&gt;=D49, Q$10&lt;=E49), "█", "")</f>
        <v/>
      </c>
      <c r="R49" s="35">
        <f>IF(AND(NOT(ISBLANK(D49)), R$10&gt;=D49, R$10&lt;=E49), "█", "")</f>
        <v/>
      </c>
      <c r="S49" s="35">
        <f>IF(AND(NOT(ISBLANK(D49)), S$10&gt;=D49, S$10&lt;=E49), "█", "")</f>
        <v/>
      </c>
      <c r="T49" s="35">
        <f>IF(AND(NOT(ISBLANK(D49)), T$10&gt;=D49, T$10&lt;=E49), "█", "")</f>
        <v/>
      </c>
      <c r="U49" s="35">
        <f>IF(AND(NOT(ISBLANK(D49)), U$10&gt;=D49, U$10&lt;=E49), "█", "")</f>
        <v/>
      </c>
      <c r="V49" s="35">
        <f>IF(AND(NOT(ISBLANK(D49)), V$10&gt;=D49, V$10&lt;=E49), "█", "")</f>
        <v/>
      </c>
      <c r="W49" s="35">
        <f>IF(AND(NOT(ISBLANK(D49)), W$10&gt;=D49, W$10&lt;=E49), "█", "")</f>
        <v/>
      </c>
      <c r="X49" s="35">
        <f>IF(AND(NOT(ISBLANK(D49)), X$10&gt;=D49, X$10&lt;=E49), "█", "")</f>
        <v/>
      </c>
      <c r="Y49" s="35">
        <f>IF(AND(NOT(ISBLANK(D49)), Y$10&gt;=D49, Y$10&lt;=E49), "█", "")</f>
        <v/>
      </c>
      <c r="Z49" s="35">
        <f>IF(AND(NOT(ISBLANK(D49)), Z$10&gt;=D49, Z$10&lt;=E49), "█", "")</f>
        <v/>
      </c>
      <c r="AA49" s="35">
        <f>IF(AND(NOT(ISBLANK(D49)), AA$10&gt;=D49, AA$10&lt;=E49), "█", "")</f>
        <v/>
      </c>
      <c r="AB49" s="35">
        <f>IF(AND(NOT(ISBLANK(D49)), AB$10&gt;=D49, AB$10&lt;=E49), "█", "")</f>
        <v/>
      </c>
      <c r="AC49" s="35">
        <f>IF(AND(NOT(ISBLANK(D49)), AC$10&gt;=D49, AC$10&lt;=E49), "█", "")</f>
        <v/>
      </c>
      <c r="AD49" s="35">
        <f>IF(AND(NOT(ISBLANK(D49)), AD$10&gt;=D49, AD$10&lt;=E49), "█", "")</f>
        <v/>
      </c>
      <c r="AE49" s="35">
        <f>IF(AND(NOT(ISBLANK(D49)), AE$10&gt;=D49, AE$10&lt;=E49), "█", "")</f>
        <v/>
      </c>
      <c r="AF49" s="35">
        <f>IF(AND(NOT(ISBLANK(D49)), AF$10&gt;=D49, AF$10&lt;=E49), "█", "")</f>
        <v/>
      </c>
      <c r="AG49" s="35">
        <f>IF(AND(NOT(ISBLANK(D49)), AG$10&gt;=D49, AG$10&lt;=E49), "█", "")</f>
        <v/>
      </c>
      <c r="AH49" s="35">
        <f>IF(AND(NOT(ISBLANK(D49)), AH$10&gt;=D49, AH$10&lt;=E49), "█", "")</f>
        <v/>
      </c>
      <c r="AI49" s="35">
        <f>IF(AND(NOT(ISBLANK(D49)), AI$10&gt;=D49, AI$10&lt;=E49), "█", "")</f>
        <v/>
      </c>
      <c r="AJ49" s="35">
        <f>IF(AND(NOT(ISBLANK(D49)), AJ$10&gt;=D49, AJ$10&lt;=E49), "█", "")</f>
        <v/>
      </c>
      <c r="AK49" s="35">
        <f>IF(AND(NOT(ISBLANK(D49)), AK$10&gt;=D49, AK$10&lt;=E49), "█", "")</f>
        <v/>
      </c>
      <c r="AL49" s="35">
        <f>IF(AND(NOT(ISBLANK(D49)), AL$10&gt;=D49, AL$10&lt;=E49), "█", "")</f>
        <v/>
      </c>
      <c r="AM49" s="35">
        <f>IF(AND(NOT(ISBLANK(D49)), AM$10&gt;=D49, AM$10&lt;=E49), "█", "")</f>
        <v/>
      </c>
    </row>
    <row r="50">
      <c r="A50" s="7" t="inlineStr"/>
      <c r="B50" s="8" t="inlineStr"/>
      <c r="C50" s="19" t="inlineStr"/>
      <c r="D50" s="32" t="inlineStr"/>
      <c r="E50" s="32" t="inlineStr"/>
      <c r="F50" s="19">
        <f>IF(OR(ISBLANK(D50), ISBLANK(E50)), "", E50-D50+1)</f>
        <v/>
      </c>
      <c r="G50" s="33" t="inlineStr"/>
      <c r="H50" s="7">
        <f>IF(ISBLANK(B50), "", IF(G50=0, "Not Started", IF(G50=1, "Completed", "In Progress")))</f>
        <v/>
      </c>
      <c r="I50" s="34" t="n"/>
      <c r="J50" s="35">
        <f>IF(AND(NOT(ISBLANK(D50)), J$10&gt;=D50, J$10&lt;=E50), "█", "")</f>
        <v/>
      </c>
      <c r="K50" s="35">
        <f>IF(AND(NOT(ISBLANK(D50)), K$10&gt;=D50, K$10&lt;=E50), "█", "")</f>
        <v/>
      </c>
      <c r="L50" s="35">
        <f>IF(AND(NOT(ISBLANK(D50)), L$10&gt;=D50, L$10&lt;=E50), "█", "")</f>
        <v/>
      </c>
      <c r="M50" s="35">
        <f>IF(AND(NOT(ISBLANK(D50)), M$10&gt;=D50, M$10&lt;=E50), "█", "")</f>
        <v/>
      </c>
      <c r="N50" s="35">
        <f>IF(AND(NOT(ISBLANK(D50)), N$10&gt;=D50, N$10&lt;=E50), "█", "")</f>
        <v/>
      </c>
      <c r="O50" s="35">
        <f>IF(AND(NOT(ISBLANK(D50)), O$10&gt;=D50, O$10&lt;=E50), "█", "")</f>
        <v/>
      </c>
      <c r="P50" s="35">
        <f>IF(AND(NOT(ISBLANK(D50)), P$10&gt;=D50, P$10&lt;=E50), "█", "")</f>
        <v/>
      </c>
      <c r="Q50" s="35">
        <f>IF(AND(NOT(ISBLANK(D50)), Q$10&gt;=D50, Q$10&lt;=E50), "█", "")</f>
        <v/>
      </c>
      <c r="R50" s="35">
        <f>IF(AND(NOT(ISBLANK(D50)), R$10&gt;=D50, R$10&lt;=E50), "█", "")</f>
        <v/>
      </c>
      <c r="S50" s="35">
        <f>IF(AND(NOT(ISBLANK(D50)), S$10&gt;=D50, S$10&lt;=E50), "█", "")</f>
        <v/>
      </c>
      <c r="T50" s="35">
        <f>IF(AND(NOT(ISBLANK(D50)), T$10&gt;=D50, T$10&lt;=E50), "█", "")</f>
        <v/>
      </c>
      <c r="U50" s="35">
        <f>IF(AND(NOT(ISBLANK(D50)), U$10&gt;=D50, U$10&lt;=E50), "█", "")</f>
        <v/>
      </c>
      <c r="V50" s="35">
        <f>IF(AND(NOT(ISBLANK(D50)), V$10&gt;=D50, V$10&lt;=E50), "█", "")</f>
        <v/>
      </c>
      <c r="W50" s="35">
        <f>IF(AND(NOT(ISBLANK(D50)), W$10&gt;=D50, W$10&lt;=E50), "█", "")</f>
        <v/>
      </c>
      <c r="X50" s="35">
        <f>IF(AND(NOT(ISBLANK(D50)), X$10&gt;=D50, X$10&lt;=E50), "█", "")</f>
        <v/>
      </c>
      <c r="Y50" s="35">
        <f>IF(AND(NOT(ISBLANK(D50)), Y$10&gt;=D50, Y$10&lt;=E50), "█", "")</f>
        <v/>
      </c>
      <c r="Z50" s="35">
        <f>IF(AND(NOT(ISBLANK(D50)), Z$10&gt;=D50, Z$10&lt;=E50), "█", "")</f>
        <v/>
      </c>
      <c r="AA50" s="35">
        <f>IF(AND(NOT(ISBLANK(D50)), AA$10&gt;=D50, AA$10&lt;=E50), "█", "")</f>
        <v/>
      </c>
      <c r="AB50" s="35">
        <f>IF(AND(NOT(ISBLANK(D50)), AB$10&gt;=D50, AB$10&lt;=E50), "█", "")</f>
        <v/>
      </c>
      <c r="AC50" s="35">
        <f>IF(AND(NOT(ISBLANK(D50)), AC$10&gt;=D50, AC$10&lt;=E50), "█", "")</f>
        <v/>
      </c>
      <c r="AD50" s="35">
        <f>IF(AND(NOT(ISBLANK(D50)), AD$10&gt;=D50, AD$10&lt;=E50), "█", "")</f>
        <v/>
      </c>
      <c r="AE50" s="35">
        <f>IF(AND(NOT(ISBLANK(D50)), AE$10&gt;=D50, AE$10&lt;=E50), "█", "")</f>
        <v/>
      </c>
      <c r="AF50" s="35">
        <f>IF(AND(NOT(ISBLANK(D50)), AF$10&gt;=D50, AF$10&lt;=E50), "█", "")</f>
        <v/>
      </c>
      <c r="AG50" s="35">
        <f>IF(AND(NOT(ISBLANK(D50)), AG$10&gt;=D50, AG$10&lt;=E50), "█", "")</f>
        <v/>
      </c>
      <c r="AH50" s="35">
        <f>IF(AND(NOT(ISBLANK(D50)), AH$10&gt;=D50, AH$10&lt;=E50), "█", "")</f>
        <v/>
      </c>
      <c r="AI50" s="35">
        <f>IF(AND(NOT(ISBLANK(D50)), AI$10&gt;=D50, AI$10&lt;=E50), "█", "")</f>
        <v/>
      </c>
      <c r="AJ50" s="35">
        <f>IF(AND(NOT(ISBLANK(D50)), AJ$10&gt;=D50, AJ$10&lt;=E50), "█", "")</f>
        <v/>
      </c>
      <c r="AK50" s="35">
        <f>IF(AND(NOT(ISBLANK(D50)), AK$10&gt;=D50, AK$10&lt;=E50), "█", "")</f>
        <v/>
      </c>
      <c r="AL50" s="35">
        <f>IF(AND(NOT(ISBLANK(D50)), AL$10&gt;=D50, AL$10&lt;=E50), "█", "")</f>
        <v/>
      </c>
      <c r="AM50" s="35">
        <f>IF(AND(NOT(ISBLANK(D50)), AM$10&gt;=D50, AM$10&lt;=E50), "█", "")</f>
        <v/>
      </c>
    </row>
    <row r="51">
      <c r="A51" s="36" t="inlineStr"/>
      <c r="B51" s="37" t="inlineStr"/>
      <c r="C51" s="22" t="inlineStr"/>
      <c r="D51" s="38" t="inlineStr"/>
      <c r="E51" s="38" t="inlineStr"/>
      <c r="F51" s="22">
        <f>IF(OR(ISBLANK(D51), ISBLANK(E51)), "", E51-D51+1)</f>
        <v/>
      </c>
      <c r="G51" s="39" t="inlineStr"/>
      <c r="H51" s="36">
        <f>IF(ISBLANK(B51), "", IF(G51=0, "Not Started", IF(G51=1, "Completed", "In Progress")))</f>
        <v/>
      </c>
      <c r="I51" s="34" t="n"/>
      <c r="J51" s="35">
        <f>IF(AND(NOT(ISBLANK(D51)), J$10&gt;=D51, J$10&lt;=E51), "█", "")</f>
        <v/>
      </c>
      <c r="K51" s="35">
        <f>IF(AND(NOT(ISBLANK(D51)), K$10&gt;=D51, K$10&lt;=E51), "█", "")</f>
        <v/>
      </c>
      <c r="L51" s="35">
        <f>IF(AND(NOT(ISBLANK(D51)), L$10&gt;=D51, L$10&lt;=E51), "█", "")</f>
        <v/>
      </c>
      <c r="M51" s="35">
        <f>IF(AND(NOT(ISBLANK(D51)), M$10&gt;=D51, M$10&lt;=E51), "█", "")</f>
        <v/>
      </c>
      <c r="N51" s="35">
        <f>IF(AND(NOT(ISBLANK(D51)), N$10&gt;=D51, N$10&lt;=E51), "█", "")</f>
        <v/>
      </c>
      <c r="O51" s="35">
        <f>IF(AND(NOT(ISBLANK(D51)), O$10&gt;=D51, O$10&lt;=E51), "█", "")</f>
        <v/>
      </c>
      <c r="P51" s="35">
        <f>IF(AND(NOT(ISBLANK(D51)), P$10&gt;=D51, P$10&lt;=E51), "█", "")</f>
        <v/>
      </c>
      <c r="Q51" s="35">
        <f>IF(AND(NOT(ISBLANK(D51)), Q$10&gt;=D51, Q$10&lt;=E51), "█", "")</f>
        <v/>
      </c>
      <c r="R51" s="35">
        <f>IF(AND(NOT(ISBLANK(D51)), R$10&gt;=D51, R$10&lt;=E51), "█", "")</f>
        <v/>
      </c>
      <c r="S51" s="35">
        <f>IF(AND(NOT(ISBLANK(D51)), S$10&gt;=D51, S$10&lt;=E51), "█", "")</f>
        <v/>
      </c>
      <c r="T51" s="35">
        <f>IF(AND(NOT(ISBLANK(D51)), T$10&gt;=D51, T$10&lt;=E51), "█", "")</f>
        <v/>
      </c>
      <c r="U51" s="35">
        <f>IF(AND(NOT(ISBLANK(D51)), U$10&gt;=D51, U$10&lt;=E51), "█", "")</f>
        <v/>
      </c>
      <c r="V51" s="35">
        <f>IF(AND(NOT(ISBLANK(D51)), V$10&gt;=D51, V$10&lt;=E51), "█", "")</f>
        <v/>
      </c>
      <c r="W51" s="35">
        <f>IF(AND(NOT(ISBLANK(D51)), W$10&gt;=D51, W$10&lt;=E51), "█", "")</f>
        <v/>
      </c>
      <c r="X51" s="35">
        <f>IF(AND(NOT(ISBLANK(D51)), X$10&gt;=D51, X$10&lt;=E51), "█", "")</f>
        <v/>
      </c>
      <c r="Y51" s="35">
        <f>IF(AND(NOT(ISBLANK(D51)), Y$10&gt;=D51, Y$10&lt;=E51), "█", "")</f>
        <v/>
      </c>
      <c r="Z51" s="35">
        <f>IF(AND(NOT(ISBLANK(D51)), Z$10&gt;=D51, Z$10&lt;=E51), "█", "")</f>
        <v/>
      </c>
      <c r="AA51" s="35">
        <f>IF(AND(NOT(ISBLANK(D51)), AA$10&gt;=D51, AA$10&lt;=E51), "█", "")</f>
        <v/>
      </c>
      <c r="AB51" s="35">
        <f>IF(AND(NOT(ISBLANK(D51)), AB$10&gt;=D51, AB$10&lt;=E51), "█", "")</f>
        <v/>
      </c>
      <c r="AC51" s="35">
        <f>IF(AND(NOT(ISBLANK(D51)), AC$10&gt;=D51, AC$10&lt;=E51), "█", "")</f>
        <v/>
      </c>
      <c r="AD51" s="35">
        <f>IF(AND(NOT(ISBLANK(D51)), AD$10&gt;=D51, AD$10&lt;=E51), "█", "")</f>
        <v/>
      </c>
      <c r="AE51" s="35">
        <f>IF(AND(NOT(ISBLANK(D51)), AE$10&gt;=D51, AE$10&lt;=E51), "█", "")</f>
        <v/>
      </c>
      <c r="AF51" s="35">
        <f>IF(AND(NOT(ISBLANK(D51)), AF$10&gt;=D51, AF$10&lt;=E51), "█", "")</f>
        <v/>
      </c>
      <c r="AG51" s="35">
        <f>IF(AND(NOT(ISBLANK(D51)), AG$10&gt;=D51, AG$10&lt;=E51), "█", "")</f>
        <v/>
      </c>
      <c r="AH51" s="35">
        <f>IF(AND(NOT(ISBLANK(D51)), AH$10&gt;=D51, AH$10&lt;=E51), "█", "")</f>
        <v/>
      </c>
      <c r="AI51" s="35">
        <f>IF(AND(NOT(ISBLANK(D51)), AI$10&gt;=D51, AI$10&lt;=E51), "█", "")</f>
        <v/>
      </c>
      <c r="AJ51" s="35">
        <f>IF(AND(NOT(ISBLANK(D51)), AJ$10&gt;=D51, AJ$10&lt;=E51), "█", "")</f>
        <v/>
      </c>
      <c r="AK51" s="35">
        <f>IF(AND(NOT(ISBLANK(D51)), AK$10&gt;=D51, AK$10&lt;=E51), "█", "")</f>
        <v/>
      </c>
      <c r="AL51" s="35">
        <f>IF(AND(NOT(ISBLANK(D51)), AL$10&gt;=D51, AL$10&lt;=E51), "█", "")</f>
        <v/>
      </c>
      <c r="AM51" s="35">
        <f>IF(AND(NOT(ISBLANK(D51)), AM$10&gt;=D51, AM$10&lt;=E51), "█", "")</f>
        <v/>
      </c>
    </row>
  </sheetData>
  <conditionalFormatting sqref="J12:AM51">
    <cfRule type="cellIs" priority="1" operator="equal" dxfId="0">
      <formula>"█"</formula>
    </cfRule>
  </conditionalFormatting>
  <conditionalFormatting sqref="H12:H51">
    <cfRule type="cellIs" priority="2" operator="equal" dxfId="1">
      <formula>"Completed"</formula>
    </cfRule>
    <cfRule type="cellIs" priority="3" operator="equal" dxfId="2">
      <formula>"In Progress"</formula>
    </cfRule>
    <cfRule type="cellIs" priority="4" operator="equal" dxfId="3">
      <formula>"Not Started"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2026-06-14T17:17:24Z</dcterms:created>
  <dcterms:modified xmlns:dcterms="http://purl.org/dc/terms/" xmlns:xsi="http://www.w3.org/2001/XMLSchema-instance" xsi:type="dcterms:W3CDTF">2026-06-14T17:17:25Z</dcterms:modified>
</cp:coreProperties>
</file>